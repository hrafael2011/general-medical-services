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autoCompressPictures="0"/>
  <bookViews>
    <workbookView minimized="1" xWindow="-120" yWindow="-120" windowWidth="28920" windowHeight="14280" tabRatio="788" activeTab="3"/>
  </bookViews>
  <sheets>
    <sheet name="Enero" sheetId="14" r:id="rId1"/>
    <sheet name="Febrero" sheetId="15" r:id="rId2"/>
    <sheet name="Marzo" sheetId="16" r:id="rId3"/>
    <sheet name="Abril" sheetId="17" r:id="rId4"/>
    <sheet name="Mayo" sheetId="18" r:id="rId5"/>
    <sheet name="Junio" sheetId="19" r:id="rId6"/>
    <sheet name="Julio" sheetId="20" r:id="rId7"/>
    <sheet name="Agosto" sheetId="21" r:id="rId8"/>
    <sheet name="Septiembre" sheetId="22" r:id="rId9"/>
    <sheet name="Octubre" sheetId="23" r:id="rId10"/>
    <sheet name="Noviembre" sheetId="24" r:id="rId11"/>
    <sheet name="Diciembre" sheetId="25" r:id="rId12"/>
  </sheets>
  <definedNames>
    <definedName name="_xlnm.Print_Area" localSheetId="0">Enero!$A$1:$H$26</definedName>
    <definedName name="CalendarYear">Enero!$K$3</definedName>
    <definedName name="ColumnTitleRegion1..H12.1">Enero!$B$2</definedName>
    <definedName name="ColumnTitleRegion1..H12.10">Octubre!$B$2</definedName>
    <definedName name="ColumnTitleRegion1..H12.11">Noviembre!$B$2</definedName>
    <definedName name="ColumnTitleRegion1..H12.12">Diciembre!$B$2</definedName>
    <definedName name="ColumnTitleRegion1..H12.2">Febrero!$B$2</definedName>
    <definedName name="ColumnTitleRegion1..H12.3">Marzo!$B$2</definedName>
    <definedName name="ColumnTitleRegion1..H12.4">Abril!$B$2</definedName>
    <definedName name="ColumnTitleRegion1..H12.5">Mayo!$B$2</definedName>
    <definedName name="ColumnTitleRegion1..H12.6">Junio!$B$2</definedName>
    <definedName name="ColumnTitleRegion1..H12.7">Julio!$B$2</definedName>
    <definedName name="ColumnTitleRegion1..H12.8">Agosto!$B$2</definedName>
    <definedName name="ColumnTitleRegion1..H12.9">Septiembre!$B$2</definedName>
    <definedName name="ColumnTitleRegion2..C14.1">Enero!$B$2</definedName>
    <definedName name="ColumnTitleRegion2..C14.10">Octubre!$B$2</definedName>
    <definedName name="ColumnTitleRegion2..C14.11">Noviembre!$B$2</definedName>
    <definedName name="ColumnTitleRegion2..C14.12">Diciembre!$B$2</definedName>
    <definedName name="ColumnTitleRegion2..C14.2">Febrero!$B$2</definedName>
    <definedName name="ColumnTitleRegion2..C14.3">Marzo!$B$2</definedName>
    <definedName name="ColumnTitleRegion2..C14.4">Abril!$B$2</definedName>
    <definedName name="ColumnTitleRegion2..C14.5">Mayo!$B$2</definedName>
    <definedName name="ColumnTitleRegion2..C14.6">Junio!$B$2</definedName>
    <definedName name="ColumnTitleRegion2..C14.7">Julio!$B$2</definedName>
    <definedName name="ColumnTitleRegion2..C14.8">Agosto!$B$2</definedName>
    <definedName name="ColumnTitleRegion2..C14.9">Septiembre!$B$2</definedName>
    <definedName name="DaysAndWeeks">{0,1,2,3,4,5,6} + {0;1;2;3;4;5}*7</definedName>
    <definedName name="InicioDeSemana">Enero!$K$6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1" i="14" l="1"/>
  <c r="B2" i="25" l="1"/>
  <c r="B2" i="24"/>
  <c r="B2" i="23"/>
  <c r="B2" i="22"/>
  <c r="B2" i="21"/>
  <c r="B2" i="20"/>
  <c r="B2" i="19"/>
  <c r="B2" i="18"/>
  <c r="B2" i="17"/>
  <c r="B2" i="16"/>
  <c r="B2" i="15"/>
  <c r="B23" i="25" a="1"/>
  <c r="C23" i="25" s="1"/>
  <c r="B19" i="25" a="1"/>
  <c r="G19" i="25" s="1"/>
  <c r="B15" i="25" a="1"/>
  <c r="G15" i="25" s="1"/>
  <c r="B11" i="25" a="1"/>
  <c r="G11" i="25" s="1"/>
  <c r="B7" i="25" a="1"/>
  <c r="G7" i="25" s="1"/>
  <c r="B3" i="25" a="1"/>
  <c r="G3" i="25" s="1"/>
  <c r="B23" i="24" a="1"/>
  <c r="C23" i="24" s="1"/>
  <c r="B19" i="24" a="1"/>
  <c r="G19" i="24" s="1"/>
  <c r="B15" i="24" a="1"/>
  <c r="G15" i="24" s="1"/>
  <c r="B11" i="24" a="1"/>
  <c r="G11" i="24" s="1"/>
  <c r="B7" i="24" a="1"/>
  <c r="G7" i="24" s="1"/>
  <c r="B3" i="24" a="1"/>
  <c r="G3" i="24" s="1"/>
  <c r="B23" i="23" a="1"/>
  <c r="C23" i="23" s="1"/>
  <c r="B19" i="23" a="1"/>
  <c r="G19" i="23" s="1"/>
  <c r="B15" i="23" a="1"/>
  <c r="G15" i="23" s="1"/>
  <c r="B11" i="23" a="1"/>
  <c r="G11" i="23" s="1"/>
  <c r="B7" i="23" a="1"/>
  <c r="G7" i="23" s="1"/>
  <c r="B3" i="23" a="1"/>
  <c r="G3" i="23" s="1"/>
  <c r="B23" i="22" a="1"/>
  <c r="C23" i="22" s="1"/>
  <c r="B19" i="22" a="1"/>
  <c r="G19" i="22" s="1"/>
  <c r="B15" i="22" a="1"/>
  <c r="G15" i="22" s="1"/>
  <c r="B11" i="22" a="1"/>
  <c r="G11" i="22" s="1"/>
  <c r="B7" i="22" a="1"/>
  <c r="G7" i="22" s="1"/>
  <c r="B3" i="22" a="1"/>
  <c r="G3" i="22" s="1"/>
  <c r="B23" i="21" a="1"/>
  <c r="C23" i="21" s="1"/>
  <c r="B19" i="21" a="1"/>
  <c r="G19" i="21" s="1"/>
  <c r="B15" i="21" a="1"/>
  <c r="G15" i="21" s="1"/>
  <c r="B11" i="21" a="1"/>
  <c r="G11" i="21" s="1"/>
  <c r="B7" i="21" a="1"/>
  <c r="G7" i="21" s="1"/>
  <c r="B3" i="21" a="1"/>
  <c r="G3" i="21" s="1"/>
  <c r="B23" i="20" a="1"/>
  <c r="C23" i="20" s="1"/>
  <c r="B19" i="20" a="1"/>
  <c r="G19" i="20" s="1"/>
  <c r="B15" i="20" a="1"/>
  <c r="G15" i="20" s="1"/>
  <c r="B11" i="20" a="1"/>
  <c r="H11" i="20" s="1"/>
  <c r="B7" i="20" a="1"/>
  <c r="H7" i="20" s="1"/>
  <c r="B3" i="20" a="1"/>
  <c r="H3" i="20" s="1"/>
  <c r="B23" i="19" a="1"/>
  <c r="B23" i="19" s="1"/>
  <c r="B19" i="19" a="1"/>
  <c r="H19" i="19" s="1"/>
  <c r="B15" i="19" a="1"/>
  <c r="H15" i="19" s="1"/>
  <c r="B11" i="19" a="1"/>
  <c r="H11" i="19" s="1"/>
  <c r="B7" i="19" a="1"/>
  <c r="H7" i="19" s="1"/>
  <c r="B3" i="19" a="1"/>
  <c r="H3" i="19" s="1"/>
  <c r="B23" i="18" a="1"/>
  <c r="B19" i="18" a="1"/>
  <c r="B15" i="18" a="1"/>
  <c r="B11" i="18" a="1"/>
  <c r="B7" i="18" a="1"/>
  <c r="B3" i="18" a="1"/>
  <c r="B23" i="17" a="1"/>
  <c r="B23" i="17" s="1"/>
  <c r="B19" i="17" a="1"/>
  <c r="G19" i="17" s="1"/>
  <c r="B15" i="17" a="1"/>
  <c r="G15" i="17" s="1"/>
  <c r="B11" i="17" a="1"/>
  <c r="G11" i="17" s="1"/>
  <c r="B7" i="17" a="1"/>
  <c r="G7" i="17" s="1"/>
  <c r="B3" i="17" a="1"/>
  <c r="G3" i="17" s="1"/>
  <c r="B23" i="16" a="1"/>
  <c r="B23" i="16" s="1"/>
  <c r="B19" i="16" a="1"/>
  <c r="B15" i="16" a="1"/>
  <c r="B11" i="16" a="1"/>
  <c r="B7" i="16" a="1"/>
  <c r="B3" i="16" a="1"/>
  <c r="B23" i="15" a="1"/>
  <c r="B23" i="15" s="1"/>
  <c r="B19" i="15" a="1"/>
  <c r="G19" i="15" s="1"/>
  <c r="B15" i="15" a="1"/>
  <c r="G15" i="15" s="1"/>
  <c r="B11" i="15" a="1"/>
  <c r="G11" i="15" s="1"/>
  <c r="B7" i="15" a="1"/>
  <c r="G7" i="15" s="1"/>
  <c r="B3" i="15" a="1"/>
  <c r="G3" i="15" s="1"/>
  <c r="B23" i="14" a="1"/>
  <c r="B23" i="14" s="1"/>
  <c r="B19" i="14" a="1"/>
  <c r="B15" i="14" a="1"/>
  <c r="B11" i="14" a="1"/>
  <c r="B7" i="14" a="1"/>
  <c r="B3" i="14" a="1"/>
  <c r="B1" i="25"/>
  <c r="B1" i="24"/>
  <c r="B1" i="23"/>
  <c r="B1" i="22"/>
  <c r="B1" i="21"/>
  <c r="B1" i="20"/>
  <c r="B1" i="19"/>
  <c r="B1" i="18"/>
  <c r="B1" i="17"/>
  <c r="B1" i="16"/>
  <c r="B1" i="15"/>
  <c r="H7" i="24" l="1"/>
  <c r="B19" i="20"/>
  <c r="D11" i="24"/>
  <c r="D15" i="25"/>
  <c r="H19" i="20"/>
  <c r="F19" i="22"/>
  <c r="C11" i="17"/>
  <c r="D3" i="21"/>
  <c r="D3" i="22"/>
  <c r="H3" i="23"/>
  <c r="B3" i="24"/>
  <c r="H3" i="21"/>
  <c r="F3" i="24"/>
  <c r="B7" i="23"/>
  <c r="F7" i="24"/>
  <c r="B7" i="25"/>
  <c r="B11" i="23"/>
  <c r="C3" i="17"/>
  <c r="C15" i="17"/>
  <c r="B23" i="20"/>
  <c r="F15" i="21"/>
  <c r="D7" i="22"/>
  <c r="D11" i="23"/>
  <c r="H3" i="24"/>
  <c r="B15" i="24"/>
  <c r="F7" i="25"/>
  <c r="D19" i="25"/>
  <c r="D15" i="21"/>
  <c r="H7" i="22"/>
  <c r="F3" i="23"/>
  <c r="H11" i="23"/>
  <c r="D15" i="24"/>
  <c r="H7" i="25"/>
  <c r="H19" i="25"/>
  <c r="H15" i="24"/>
  <c r="C3" i="15"/>
  <c r="C7" i="17"/>
  <c r="B23" i="21"/>
  <c r="H11" i="25"/>
  <c r="F19" i="20"/>
  <c r="B3" i="22"/>
  <c r="D19" i="22"/>
  <c r="D7" i="23"/>
  <c r="B11" i="24"/>
  <c r="B15" i="25"/>
  <c r="C15" i="15"/>
  <c r="D19" i="20"/>
  <c r="F3" i="21"/>
  <c r="B11" i="21"/>
  <c r="H15" i="21"/>
  <c r="F7" i="22"/>
  <c r="B15" i="22"/>
  <c r="H19" i="22"/>
  <c r="F11" i="23"/>
  <c r="B19" i="23"/>
  <c r="D3" i="24"/>
  <c r="F15" i="24"/>
  <c r="B23" i="24"/>
  <c r="D7" i="25"/>
  <c r="F19" i="25"/>
  <c r="D19" i="23"/>
  <c r="C19" i="17"/>
  <c r="F11" i="21"/>
  <c r="B19" i="21"/>
  <c r="F15" i="22"/>
  <c r="B23" i="22"/>
  <c r="F19" i="23"/>
  <c r="B3" i="25"/>
  <c r="C7" i="15"/>
  <c r="C19" i="15"/>
  <c r="B7" i="21"/>
  <c r="H11" i="21"/>
  <c r="D19" i="21"/>
  <c r="F3" i="22"/>
  <c r="B11" i="22"/>
  <c r="H15" i="22"/>
  <c r="F7" i="23"/>
  <c r="B15" i="23"/>
  <c r="H19" i="23"/>
  <c r="F11" i="24"/>
  <c r="B19" i="24"/>
  <c r="D3" i="25"/>
  <c r="F15" i="25"/>
  <c r="B23" i="25"/>
  <c r="D7" i="21"/>
  <c r="F19" i="21"/>
  <c r="H3" i="22"/>
  <c r="H2" i="22" s="1"/>
  <c r="D11" i="22"/>
  <c r="B3" i="23"/>
  <c r="H7" i="23"/>
  <c r="D15" i="23"/>
  <c r="B7" i="24"/>
  <c r="H11" i="24"/>
  <c r="D19" i="24"/>
  <c r="F3" i="25"/>
  <c r="B11" i="25"/>
  <c r="H15" i="25"/>
  <c r="C11" i="15"/>
  <c r="C23" i="17"/>
  <c r="F7" i="21"/>
  <c r="B15" i="21"/>
  <c r="H19" i="21"/>
  <c r="F11" i="22"/>
  <c r="B19" i="22"/>
  <c r="D3" i="23"/>
  <c r="F15" i="23"/>
  <c r="B23" i="23"/>
  <c r="D7" i="24"/>
  <c r="F19" i="24"/>
  <c r="H3" i="25"/>
  <c r="D11" i="25"/>
  <c r="D11" i="21"/>
  <c r="D15" i="22"/>
  <c r="C23" i="15"/>
  <c r="B3" i="21"/>
  <c r="H7" i="21"/>
  <c r="B7" i="22"/>
  <c r="H11" i="22"/>
  <c r="H15" i="23"/>
  <c r="H19" i="24"/>
  <c r="F11" i="25"/>
  <c r="B19" i="25"/>
  <c r="H3" i="14"/>
  <c r="F3" i="14"/>
  <c r="D3" i="14"/>
  <c r="B3" i="14"/>
  <c r="E3" i="14"/>
  <c r="H7" i="14"/>
  <c r="F7" i="14"/>
  <c r="D7" i="14"/>
  <c r="B7" i="14"/>
  <c r="E7" i="14"/>
  <c r="H11" i="14"/>
  <c r="F11" i="14"/>
  <c r="D11" i="14"/>
  <c r="B11" i="14"/>
  <c r="E11" i="14"/>
  <c r="H15" i="14"/>
  <c r="F15" i="14"/>
  <c r="D15" i="14"/>
  <c r="B15" i="14"/>
  <c r="E15" i="14"/>
  <c r="H19" i="14"/>
  <c r="F19" i="14"/>
  <c r="D19" i="14"/>
  <c r="B19" i="14"/>
  <c r="E19" i="14"/>
  <c r="H3" i="16"/>
  <c r="H2" i="16" s="1"/>
  <c r="F3" i="16"/>
  <c r="D3" i="16"/>
  <c r="B3" i="16"/>
  <c r="E3" i="16"/>
  <c r="H7" i="16"/>
  <c r="F7" i="16"/>
  <c r="D7" i="16"/>
  <c r="B7" i="16"/>
  <c r="E7" i="16"/>
  <c r="H11" i="16"/>
  <c r="F11" i="16"/>
  <c r="D11" i="16"/>
  <c r="B11" i="16"/>
  <c r="E11" i="16"/>
  <c r="H15" i="16"/>
  <c r="F15" i="16"/>
  <c r="D15" i="16"/>
  <c r="B15" i="16"/>
  <c r="E15" i="16"/>
  <c r="H19" i="16"/>
  <c r="F19" i="16"/>
  <c r="D19" i="16"/>
  <c r="B19" i="16"/>
  <c r="E19" i="16"/>
  <c r="H3" i="18"/>
  <c r="F3" i="18"/>
  <c r="D3" i="18"/>
  <c r="B3" i="18"/>
  <c r="E3" i="18"/>
  <c r="H7" i="18"/>
  <c r="F7" i="18"/>
  <c r="D7" i="18"/>
  <c r="B7" i="18"/>
  <c r="E7" i="18"/>
  <c r="H11" i="18"/>
  <c r="F11" i="18"/>
  <c r="D11" i="18"/>
  <c r="B11" i="18"/>
  <c r="E11" i="18"/>
  <c r="H15" i="18"/>
  <c r="F15" i="18"/>
  <c r="D15" i="18"/>
  <c r="B15" i="18"/>
  <c r="E15" i="18"/>
  <c r="H19" i="18"/>
  <c r="F19" i="18"/>
  <c r="D19" i="18"/>
  <c r="B19" i="18"/>
  <c r="E19" i="18"/>
  <c r="B23" i="18"/>
  <c r="C23" i="18"/>
  <c r="C3" i="14"/>
  <c r="G3" i="14"/>
  <c r="C7" i="14"/>
  <c r="G7" i="14"/>
  <c r="C11" i="14"/>
  <c r="G11" i="14"/>
  <c r="C15" i="14"/>
  <c r="G15" i="14"/>
  <c r="C19" i="14"/>
  <c r="G19" i="14"/>
  <c r="C23" i="14"/>
  <c r="H3" i="15"/>
  <c r="H2" i="15" s="1"/>
  <c r="F3" i="15"/>
  <c r="D3" i="15"/>
  <c r="B3" i="15"/>
  <c r="E3" i="15"/>
  <c r="H7" i="15"/>
  <c r="F7" i="15"/>
  <c r="D7" i="15"/>
  <c r="B7" i="15"/>
  <c r="E7" i="15"/>
  <c r="H11" i="15"/>
  <c r="F11" i="15"/>
  <c r="D11" i="15"/>
  <c r="B11" i="15"/>
  <c r="E11" i="15"/>
  <c r="H15" i="15"/>
  <c r="F15" i="15"/>
  <c r="D15" i="15"/>
  <c r="B15" i="15"/>
  <c r="E15" i="15"/>
  <c r="H19" i="15"/>
  <c r="F19" i="15"/>
  <c r="D19" i="15"/>
  <c r="B19" i="15"/>
  <c r="E19" i="15"/>
  <c r="C3" i="16"/>
  <c r="G3" i="16"/>
  <c r="C7" i="16"/>
  <c r="G7" i="16"/>
  <c r="C11" i="16"/>
  <c r="G11" i="16"/>
  <c r="C15" i="16"/>
  <c r="G15" i="16"/>
  <c r="C19" i="16"/>
  <c r="G19" i="16"/>
  <c r="C23" i="16"/>
  <c r="H3" i="17"/>
  <c r="H2" i="17" s="1"/>
  <c r="F3" i="17"/>
  <c r="D3" i="17"/>
  <c r="B3" i="17"/>
  <c r="E3" i="17"/>
  <c r="H7" i="17"/>
  <c r="F7" i="17"/>
  <c r="D7" i="17"/>
  <c r="B7" i="17"/>
  <c r="E7" i="17"/>
  <c r="H11" i="17"/>
  <c r="F11" i="17"/>
  <c r="D11" i="17"/>
  <c r="B11" i="17"/>
  <c r="E11" i="17"/>
  <c r="H15" i="17"/>
  <c r="F15" i="17"/>
  <c r="D15" i="17"/>
  <c r="B15" i="17"/>
  <c r="E15" i="17"/>
  <c r="H19" i="17"/>
  <c r="F19" i="17"/>
  <c r="D19" i="17"/>
  <c r="B19" i="17"/>
  <c r="E19" i="17"/>
  <c r="C3" i="18"/>
  <c r="G3" i="18"/>
  <c r="G2" i="18" s="1"/>
  <c r="C7" i="18"/>
  <c r="G7" i="18"/>
  <c r="C11" i="18"/>
  <c r="G11" i="18"/>
  <c r="C15" i="18"/>
  <c r="G15" i="18"/>
  <c r="C19" i="18"/>
  <c r="G19" i="18"/>
  <c r="C3" i="19"/>
  <c r="E3" i="19"/>
  <c r="G3" i="19"/>
  <c r="C7" i="19"/>
  <c r="E7" i="19"/>
  <c r="G7" i="19"/>
  <c r="C11" i="19"/>
  <c r="E11" i="19"/>
  <c r="G11" i="19"/>
  <c r="C15" i="19"/>
  <c r="E15" i="19"/>
  <c r="G15" i="19"/>
  <c r="C19" i="19"/>
  <c r="E19" i="19"/>
  <c r="G19" i="19"/>
  <c r="C23" i="19"/>
  <c r="C3" i="20"/>
  <c r="E3" i="20"/>
  <c r="E2" i="20" s="1"/>
  <c r="G3" i="20"/>
  <c r="C7" i="20"/>
  <c r="E7" i="20"/>
  <c r="G7" i="20"/>
  <c r="C11" i="20"/>
  <c r="E11" i="20"/>
  <c r="G11" i="20"/>
  <c r="C15" i="20"/>
  <c r="E15" i="20"/>
  <c r="H15" i="20"/>
  <c r="B3" i="19"/>
  <c r="D3" i="19"/>
  <c r="F3" i="19"/>
  <c r="B7" i="19"/>
  <c r="D7" i="19"/>
  <c r="F7" i="19"/>
  <c r="B11" i="19"/>
  <c r="D11" i="19"/>
  <c r="F11" i="19"/>
  <c r="B15" i="19"/>
  <c r="D15" i="19"/>
  <c r="F15" i="19"/>
  <c r="B19" i="19"/>
  <c r="D19" i="19"/>
  <c r="F19" i="19"/>
  <c r="B3" i="20"/>
  <c r="D3" i="20"/>
  <c r="F3" i="20"/>
  <c r="B7" i="20"/>
  <c r="D7" i="20"/>
  <c r="F7" i="20"/>
  <c r="B11" i="20"/>
  <c r="D11" i="20"/>
  <c r="F11" i="20"/>
  <c r="B15" i="20"/>
  <c r="D15" i="20"/>
  <c r="F15" i="20"/>
  <c r="C19" i="20"/>
  <c r="E19" i="20"/>
  <c r="C3" i="21"/>
  <c r="E3" i="21"/>
  <c r="C7" i="21"/>
  <c r="E7" i="21"/>
  <c r="C11" i="21"/>
  <c r="E11" i="21"/>
  <c r="C15" i="21"/>
  <c r="E15" i="21"/>
  <c r="C19" i="21"/>
  <c r="E19" i="21"/>
  <c r="C3" i="22"/>
  <c r="E3" i="22"/>
  <c r="C7" i="22"/>
  <c r="E7" i="22"/>
  <c r="C11" i="22"/>
  <c r="E11" i="22"/>
  <c r="C15" i="22"/>
  <c r="E15" i="22"/>
  <c r="C19" i="22"/>
  <c r="E19" i="22"/>
  <c r="C3" i="23"/>
  <c r="E3" i="23"/>
  <c r="C7" i="23"/>
  <c r="E7" i="23"/>
  <c r="C11" i="23"/>
  <c r="E11" i="23"/>
  <c r="C15" i="23"/>
  <c r="E15" i="23"/>
  <c r="C19" i="23"/>
  <c r="E19" i="23"/>
  <c r="C3" i="24"/>
  <c r="E3" i="24"/>
  <c r="C7" i="24"/>
  <c r="E7" i="24"/>
  <c r="C11" i="24"/>
  <c r="E11" i="24"/>
  <c r="C15" i="24"/>
  <c r="E15" i="24"/>
  <c r="C19" i="24"/>
  <c r="E19" i="24"/>
  <c r="C3" i="25"/>
  <c r="E3" i="25"/>
  <c r="C7" i="25"/>
  <c r="E7" i="25"/>
  <c r="C11" i="25"/>
  <c r="E11" i="25"/>
  <c r="C15" i="25"/>
  <c r="E15" i="25"/>
  <c r="C19" i="25"/>
  <c r="E19" i="25"/>
  <c r="G2" i="25"/>
  <c r="G2" i="24"/>
  <c r="G2" i="23"/>
  <c r="G2" i="21"/>
  <c r="H2" i="19"/>
  <c r="F2" i="18" l="1"/>
  <c r="D2" i="18"/>
  <c r="H2" i="18"/>
  <c r="D2" i="25"/>
  <c r="F2" i="25"/>
  <c r="H2" i="25"/>
  <c r="C2" i="25"/>
  <c r="E2" i="25"/>
  <c r="D2" i="24"/>
  <c r="F2" i="24"/>
  <c r="H2" i="24"/>
  <c r="C2" i="24"/>
  <c r="E2" i="24"/>
  <c r="D2" i="23"/>
  <c r="F2" i="23"/>
  <c r="H2" i="23"/>
  <c r="C2" i="23"/>
  <c r="E2" i="23"/>
  <c r="C2" i="22"/>
  <c r="E2" i="22"/>
  <c r="G2" i="22"/>
  <c r="D2" i="22"/>
  <c r="F2" i="22"/>
  <c r="D2" i="21"/>
  <c r="F2" i="21"/>
  <c r="H2" i="21"/>
  <c r="C2" i="21"/>
  <c r="E2" i="21"/>
  <c r="C2" i="20"/>
  <c r="G2" i="20"/>
  <c r="D2" i="20"/>
  <c r="F2" i="20"/>
  <c r="H2" i="20"/>
  <c r="C2" i="19"/>
  <c r="E2" i="19"/>
  <c r="G2" i="19"/>
  <c r="D2" i="19"/>
  <c r="F2" i="19"/>
  <c r="C2" i="18"/>
  <c r="E2" i="18"/>
  <c r="C2" i="17"/>
  <c r="E2" i="17"/>
  <c r="G2" i="17"/>
  <c r="D2" i="17"/>
  <c r="F2" i="17"/>
  <c r="C2" i="16"/>
  <c r="E2" i="16"/>
  <c r="G2" i="16"/>
  <c r="D2" i="16"/>
  <c r="F2" i="16"/>
  <c r="C2" i="15"/>
  <c r="E2" i="15"/>
  <c r="G2" i="15"/>
  <c r="D2" i="15"/>
  <c r="F2" i="15"/>
  <c r="B2" i="14"/>
  <c r="G2" i="14" l="1"/>
  <c r="E2" i="14"/>
  <c r="C2" i="14"/>
  <c r="H2" i="14"/>
  <c r="F2" i="14"/>
  <c r="D2" i="14"/>
</calcChain>
</file>

<file path=xl/sharedStrings.xml><?xml version="1.0" encoding="utf-8"?>
<sst xmlns="http://schemas.openxmlformats.org/spreadsheetml/2006/main" count="1256" uniqueCount="141">
  <si>
    <t>Notas</t>
  </si>
  <si>
    <t>Configuración del calendario</t>
  </si>
  <si>
    <t>Año</t>
  </si>
  <si>
    <t>Inicio de la semana</t>
  </si>
  <si>
    <t>DOMINGO</t>
  </si>
  <si>
    <t>RASO BAUTISTA MUÑOZ, LIA MARIE</t>
  </si>
  <si>
    <t xml:space="preserve">SARGENTO ALVAREZ MONEGRO RAYMARY </t>
  </si>
  <si>
    <t xml:space="preserve">YESENIA PEÑA </t>
  </si>
  <si>
    <t>CABO GONZALEZ CORPORAN, KANINSA.</t>
  </si>
  <si>
    <t>ECT HAYDA M. CONTRERAS ANGOMAS</t>
  </si>
  <si>
    <t>CABO EVELYN  HERRERA</t>
  </si>
  <si>
    <t>ETC. AMADOR BURGOS, CYNHTIA ISABEL.</t>
  </si>
  <si>
    <t>SGTO. PINEDA MORA, ANDRY.</t>
  </si>
  <si>
    <t>CABO NÚÑEZ GIL, YSALGUEZ</t>
  </si>
  <si>
    <t>ETC. GALVA FLORENTINO, ADRIHANNY.</t>
  </si>
  <si>
    <t>ECT MACIEL REINOSO LORENZO</t>
  </si>
  <si>
    <t>ETC MATOS RAMIREZ SEIRY M.</t>
  </si>
  <si>
    <t xml:space="preserve">CABO REYES BATISTA, NAIROBY </t>
  </si>
  <si>
    <t xml:space="preserve"> CABO HERRERA MARTE AUREY</t>
  </si>
  <si>
    <t>ECT.MARMOLEJOS ROSARIO  YASSER</t>
  </si>
  <si>
    <t xml:space="preserve">A/M PEREZ COLON, MARIELA ESTHER </t>
  </si>
  <si>
    <t>ETC. PEGUERO, PAMELA</t>
  </si>
  <si>
    <t>A/M RINCON SOSA, ANDREINA</t>
  </si>
  <si>
    <t>CABO CRUZ BENCOSME MARIA F.</t>
  </si>
  <si>
    <t xml:space="preserve"> SGTO. BALBUENA REYES, LUISA MANUELA</t>
  </si>
  <si>
    <t xml:space="preserve">ECT. LUNA MARTINEZ, TONY RAFAEL </t>
  </si>
  <si>
    <t>SGTO ACOSTA RAMOS, MIGUELINA A.</t>
  </si>
  <si>
    <t xml:space="preserve">CABO FELICIANO DORIS </t>
  </si>
  <si>
    <t>CABO DE LOS SANTOS SANTANA LAURA</t>
  </si>
  <si>
    <t>ELIANNY ELIZABETH ABREU BAUTISTA</t>
  </si>
  <si>
    <t>SGTO. CUEVAS CUEVAS, KATHERINE P.</t>
  </si>
  <si>
    <t>SGTO. OTAÑO ZAYAS, ESTHER.</t>
  </si>
  <si>
    <t>CABO CALZADO DE JESUS GREILY</t>
  </si>
  <si>
    <t>CABO SANTANA BRITO, VANESSA Y.</t>
  </si>
  <si>
    <t>A/M VEGA QUITERIO, ANGEE</t>
  </si>
  <si>
    <t>A/M SUERO DE LEON, ROSANNY.</t>
  </si>
  <si>
    <t>A/M GONZALEZ MORAN, MARTHA.</t>
  </si>
  <si>
    <t>SGTO. VIÑAS PEREZ, LUISA N.</t>
  </si>
  <si>
    <t>CABO DE PEÑA HIDALGO, JUDITH.</t>
  </si>
  <si>
    <t>RASO LAKE DURAN, ALBA.</t>
  </si>
  <si>
    <t>SGTO TORRES DESENA, KIARA</t>
  </si>
  <si>
    <t xml:space="preserve">RASO ACEVEDO MARIA  </t>
  </si>
  <si>
    <t>CABO TORRES GARCÍA, ARGENIS.</t>
  </si>
  <si>
    <t>CABO ACOSTA CABRERA, JOSÉ.</t>
  </si>
  <si>
    <t xml:space="preserve">CABO LOPEZ GIRALDO REYNA </t>
  </si>
  <si>
    <t>ETC GUTIERREZ CASTELLANO, LAURA.</t>
  </si>
  <si>
    <t>RASO NUÑEZ MENDEZ, ARIANNE.</t>
  </si>
  <si>
    <t>RASO PLACENCIA HERNANDEZ,  JORDANY A.</t>
  </si>
  <si>
    <t>SGTO. DE JESÚS HERRERA, RUTH.</t>
  </si>
  <si>
    <t>YESENIA PEÑA</t>
  </si>
  <si>
    <t>CABO CASTILLO PEÑA, NICOLE</t>
  </si>
  <si>
    <t>ECT ANA SUERO</t>
  </si>
  <si>
    <t>SGTO. MAÑÓN CONCEPCIÓN,  NOELY.</t>
  </si>
  <si>
    <t>ETC. PAYERO GUZMAN, JENNIFER.</t>
  </si>
  <si>
    <t>SGTO NICOLE  NUÑEZ MARTINO</t>
  </si>
  <si>
    <t>A/M LUCAS E. JACKSON HERNANDEZ</t>
  </si>
  <si>
    <t>ECT. ROSA A. PEREZ</t>
  </si>
  <si>
    <t>CABO NÚÑEZ GIL, YAUGEL S.</t>
  </si>
  <si>
    <t>SOTO SOTO DENIS</t>
  </si>
  <si>
    <t>ECT. ELIANNY ELIZABETH ABREU BAUTISTA</t>
  </si>
  <si>
    <t>SGTO BELKER PEÑALO DEL CARMEN</t>
  </si>
  <si>
    <t>CABO SANTANA BRITO, VANESSA YAMELY</t>
  </si>
  <si>
    <t>ECT. HEUREAUX, JORGE MIGUEL</t>
  </si>
  <si>
    <t xml:space="preserve">SGTO ACOSTA RAMOS, MIGUELINA ALEXANDRA </t>
  </si>
  <si>
    <t xml:space="preserve">RASO ERD  MARIA ACEVEDO </t>
  </si>
  <si>
    <t>ECT REINOSO LORENZO, MACIEL</t>
  </si>
  <si>
    <t xml:space="preserve">ECT CASTILLO NOELIA </t>
  </si>
  <si>
    <t>ECT JUAN GARCA</t>
  </si>
  <si>
    <t>A/M YESENIA PEÑA</t>
  </si>
  <si>
    <t>CABO UREÑA CORREA, LUISANNA.</t>
  </si>
  <si>
    <t>RASO ACEVEDO MARIA ERD</t>
  </si>
  <si>
    <t>ANA SUERO GRANO DE ORO</t>
  </si>
  <si>
    <t>ECT HEUREAUX, JORGE MIGUEL</t>
  </si>
  <si>
    <t>SGTO ALVAREZ MONEGRO RAYMARY</t>
  </si>
  <si>
    <t xml:space="preserve"> </t>
  </si>
  <si>
    <t xml:space="preserve">CABO MENDOZA CAROLINA </t>
  </si>
  <si>
    <t>ECT JUAN GARCIA</t>
  </si>
  <si>
    <t>CABO NUÑEZ MENDEZ, ARIANNE.</t>
  </si>
  <si>
    <t>SGT. MORRILLO FERRERAS ELSA</t>
  </si>
  <si>
    <t>CABO FELICIANO DE LEON DORIS</t>
  </si>
  <si>
    <t>SARGENTO EVELYN  HERRERA</t>
  </si>
  <si>
    <t xml:space="preserve"> CABO MENDOZA CAROLINA </t>
  </si>
  <si>
    <t>CABO ACEVEDO MARIA ERD</t>
  </si>
  <si>
    <t xml:space="preserve">ECT NUÑEZ ERICKSON </t>
  </si>
  <si>
    <t>SGTO ACOSTA RAMOS MIGUELINA</t>
  </si>
  <si>
    <t xml:space="preserve">SGTO ACOSTA RAMOS MIGUELINA </t>
  </si>
  <si>
    <t>CABO DE LA ROSA SHEEN KAIRA</t>
  </si>
  <si>
    <t>SGTO. BALBUENA REYES, LUISA MANUELA</t>
  </si>
  <si>
    <t>A/M PEREZ COLON, MARIELA ESTHER</t>
  </si>
  <si>
    <t>ETC. LUNA MARTINEZ, TONY RAFAEL.</t>
  </si>
  <si>
    <t xml:space="preserve">ECT. MATOS SEIRY </t>
  </si>
  <si>
    <t xml:space="preserve">ECT. NUÑEZ ERICKSON </t>
  </si>
  <si>
    <t>ECT ANA SUERO GRANO DE ORO</t>
  </si>
  <si>
    <t xml:space="preserve">SGTO ACOSTA RAMOS, MIGUELINA A. </t>
  </si>
  <si>
    <t>Sgto. TORRES DESENA, KIARA</t>
  </si>
  <si>
    <t xml:space="preserve">CABO ACEVEDO MARIA ERD </t>
  </si>
  <si>
    <t xml:space="preserve"> BELKER PEÑALO DEL CARMEN</t>
  </si>
  <si>
    <t>MENDOZA CABRERA CAROLINA</t>
  </si>
  <si>
    <t xml:space="preserve">ECT. YASSER MARMOLEJOS ROSARIO </t>
  </si>
  <si>
    <t>CABO MENDOZA CABRERA CAROLINA</t>
  </si>
  <si>
    <t>CABO CRUZ BENCOSME MARIA FERNANDA</t>
  </si>
  <si>
    <t>CABO DE LOS SANTOS SANTANA, LAURA M.</t>
  </si>
  <si>
    <t>SGTO. NICOLE  NUÑEZ MARTINO</t>
  </si>
  <si>
    <t>A/M SOTO SOTO DENIS</t>
  </si>
  <si>
    <t xml:space="preserve">RASO PLACENCIA HERNANDEZ,  JORDANY </t>
  </si>
  <si>
    <t>RASO SILVERIO PANIAGUA KISSBEL</t>
  </si>
  <si>
    <t xml:space="preserve">ENCARNACION RODRIGUEZ YASSIRYS L. </t>
  </si>
  <si>
    <t xml:space="preserve">CABO CUETO MONTERO JOSE N. </t>
  </si>
  <si>
    <t>A-M YESENIA PENA</t>
  </si>
  <si>
    <t xml:space="preserve"> ECT. DORKA IRIS SUEREZ </t>
  </si>
  <si>
    <t>SGTO. DE LOS SANTOS SANTANA, LAURA M.</t>
  </si>
  <si>
    <t>SGTO LAURA DE LOS SANTOS PISTA- SARGENTO REYES BATISTA NAIROBY EMERGENCIA</t>
  </si>
  <si>
    <t xml:space="preserve">CABO CUETO MONTERO JOSE N.  </t>
  </si>
  <si>
    <t xml:space="preserve">SGTO. REYES BATISTA, NAIROBY </t>
  </si>
  <si>
    <t>CABO  SHEEN DE LA ROSA KAIRA</t>
  </si>
  <si>
    <t xml:space="preserve">ECT  ROSA PEREZ </t>
  </si>
  <si>
    <t>SGTO LAURA DE LOS SANTOS</t>
  </si>
  <si>
    <t>SARGENTO REYES BATISTA NAIROBY</t>
  </si>
  <si>
    <t>ECT ELIANNY E. ABREU BAUTISTA</t>
  </si>
  <si>
    <t>ECT. ANA SUERO GRANO DE ORO</t>
  </si>
  <si>
    <t>ECT. ELIANNY E ABREU BAUTISTA</t>
  </si>
  <si>
    <t xml:space="preserve">YASSER MARMOLEJOS ROSARIO </t>
  </si>
  <si>
    <t xml:space="preserve"> ECT. ROSA PEREZ </t>
  </si>
  <si>
    <t>CABO ENCARNACION GOMEZ WENDY</t>
  </si>
  <si>
    <t xml:space="preserve">CABO ENCARNACION RODRIGUEZ YASSIRYS L. </t>
  </si>
  <si>
    <t>2 DE NOV NAIROBY REYES EMERGENCIA</t>
  </si>
  <si>
    <t xml:space="preserve"> ECT. ROSA PEREZ-  CABO ENCARNACION WENDY</t>
  </si>
  <si>
    <t>RASO ELIANNY E. ABREU BAUTISTA</t>
  </si>
  <si>
    <t xml:space="preserve"> ECT. ROSA PEREZ</t>
  </si>
  <si>
    <t>HEUREAUX, JORGE MIGUEL</t>
  </si>
  <si>
    <t>A/M CONTRERAS MIRANDA MERICY</t>
  </si>
  <si>
    <t>CABO ENCARNACION GOMEZ WENDYmision</t>
  </si>
  <si>
    <t xml:space="preserve">CABO CALZADO DE JESUS GREILY mision </t>
  </si>
  <si>
    <t>SGTO ACOSTA RAMOS</t>
  </si>
  <si>
    <t>SGTO. OTAÑO ZAYAS, Y  YASSIRYS</t>
  </si>
  <si>
    <t xml:space="preserve"> KANINSA. Y JUAN G.</t>
  </si>
  <si>
    <t>ECT. NUÑEZ ERICKSON REYES BATISTA</t>
  </si>
  <si>
    <t>MATOS RAMIREZ SEIRY M.</t>
  </si>
  <si>
    <t>CABO GONZALEZ CORPORAN, KANINSA_</t>
  </si>
  <si>
    <t xml:space="preserve">ECT YASSER MARMOLEJOS ROSARIO </t>
  </si>
  <si>
    <t xml:space="preserve">MATOS SEIRY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</si>
</sst>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d"/>
  </numFmts>
  <fonts count="41">
    <font>
      <sz val="11"/>
      <color theme="1" tint="0.24994659260841701"/>
      <name val="Lucida Sans"/>
      <family val="2"/>
      <scheme val="minor"/>
    </font>
    <font>
      <sz val="11"/>
      <color theme="1"/>
      <name val="Lucida Sans"/>
      <family val="2"/>
      <scheme val="minor"/>
    </font>
    <font>
      <sz val="8"/>
      <name val="Arial"/>
      <family val="2"/>
    </font>
    <font>
      <sz val="10"/>
      <name val="Century Gothic"/>
      <family val="2"/>
    </font>
    <font>
      <b/>
      <sz val="11"/>
      <color theme="0"/>
      <name val="Lucida Sans"/>
      <family val="2"/>
      <scheme val="minor"/>
    </font>
    <font>
      <b/>
      <sz val="14"/>
      <color theme="0"/>
      <name val="Lucida Sans"/>
      <family val="2"/>
      <scheme val="minor"/>
    </font>
    <font>
      <sz val="35"/>
      <color theme="4"/>
      <name val="Lucida Sans"/>
      <family val="2"/>
      <scheme val="minor"/>
    </font>
    <font>
      <sz val="11"/>
      <color theme="1" tint="0.34998626667073579"/>
      <name val="Lucida Sans"/>
      <family val="2"/>
      <scheme val="minor"/>
    </font>
    <font>
      <sz val="11"/>
      <color theme="4" tint="-0.24994659260841701"/>
      <name val="Lucida Sans"/>
      <family val="2"/>
      <scheme val="minor"/>
    </font>
    <font>
      <sz val="11"/>
      <color indexed="63"/>
      <name val="Lucida Sans"/>
      <family val="2"/>
      <scheme val="minor"/>
    </font>
    <font>
      <b/>
      <sz val="11"/>
      <color theme="1" tint="0.34998626667073579"/>
      <name val="Lucida Sans"/>
      <family val="2"/>
      <scheme val="minor"/>
    </font>
    <font>
      <sz val="11"/>
      <color theme="1" tint="0.24994659260841701"/>
      <name val="Lucida Sans"/>
      <family val="2"/>
      <scheme val="minor"/>
    </font>
    <font>
      <i/>
      <sz val="11"/>
      <color theme="1" tint="0.34998626667073579"/>
      <name val="Lucida Sans"/>
      <family val="2"/>
      <charset val="238"/>
      <scheme val="minor"/>
    </font>
    <font>
      <sz val="11"/>
      <color theme="1" tint="0.34998626667073579"/>
      <name val="Lucida Sans"/>
      <family val="2"/>
      <charset val="238"/>
      <scheme val="minor"/>
    </font>
    <font>
      <b/>
      <sz val="11"/>
      <color theme="1" tint="0.34998626667073579"/>
      <name val="Lucida Sans"/>
      <family val="2"/>
      <charset val="238"/>
      <scheme val="minor"/>
    </font>
    <font>
      <sz val="35"/>
      <color theme="1"/>
      <name val="Rockwell"/>
      <family val="1"/>
      <scheme val="major"/>
    </font>
    <font>
      <sz val="11"/>
      <color theme="1"/>
      <name val="Rockwell"/>
      <family val="1"/>
      <scheme val="major"/>
    </font>
    <font>
      <b/>
      <sz val="11"/>
      <color theme="1" tint="0.24994659260841701"/>
      <name val="Lucida Sans"/>
      <family val="2"/>
      <charset val="238"/>
      <scheme val="minor"/>
    </font>
    <font>
      <sz val="35"/>
      <color theme="0"/>
      <name val="Rockwell"/>
      <family val="1"/>
      <scheme val="major"/>
    </font>
    <font>
      <sz val="35"/>
      <color theme="0"/>
      <name val="Lucida Sans"/>
      <family val="2"/>
      <scheme val="minor"/>
    </font>
    <font>
      <sz val="11"/>
      <color theme="0"/>
      <name val="Lucida Sans"/>
      <family val="2"/>
      <scheme val="minor"/>
    </font>
    <font>
      <sz val="11"/>
      <color rgb="FF006100"/>
      <name val="Lucida Sans"/>
      <family val="2"/>
      <scheme val="minor"/>
    </font>
    <font>
      <sz val="11"/>
      <color rgb="FF9C0006"/>
      <name val="Lucida Sans"/>
      <family val="2"/>
      <scheme val="minor"/>
    </font>
    <font>
      <sz val="11"/>
      <color rgb="FF9C5700"/>
      <name val="Lucida Sans"/>
      <family val="2"/>
      <scheme val="minor"/>
    </font>
    <font>
      <sz val="11"/>
      <color rgb="FF3F3F76"/>
      <name val="Lucida Sans"/>
      <family val="2"/>
      <scheme val="minor"/>
    </font>
    <font>
      <b/>
      <sz val="11"/>
      <color rgb="FF3F3F3F"/>
      <name val="Lucida Sans"/>
      <family val="2"/>
      <scheme val="minor"/>
    </font>
    <font>
      <b/>
      <sz val="11"/>
      <color rgb="FFFA7D00"/>
      <name val="Lucida Sans"/>
      <family val="2"/>
      <scheme val="minor"/>
    </font>
    <font>
      <sz val="11"/>
      <color rgb="FFFA7D00"/>
      <name val="Lucida Sans"/>
      <family val="2"/>
      <scheme val="minor"/>
    </font>
    <font>
      <sz val="11"/>
      <color rgb="FFFF0000"/>
      <name val="Lucida Sans"/>
      <family val="2"/>
      <scheme val="minor"/>
    </font>
    <font>
      <i/>
      <sz val="11"/>
      <color rgb="FF7F7F7F"/>
      <name val="Lucida Sans"/>
      <family val="2"/>
      <scheme val="minor"/>
    </font>
    <font>
      <b/>
      <sz val="11"/>
      <color theme="1"/>
      <name val="Lucida Sans"/>
      <family val="2"/>
      <scheme val="minor"/>
    </font>
    <font>
      <b/>
      <sz val="11"/>
      <name val="Lucida Sans"/>
      <family val="2"/>
      <charset val="238"/>
      <scheme val="minor"/>
    </font>
    <font>
      <b/>
      <sz val="12"/>
      <color theme="1"/>
      <name val="Lucida Sans"/>
      <family val="2"/>
      <scheme val="minor"/>
    </font>
    <font>
      <b/>
      <sz val="11"/>
      <color theme="9"/>
      <name val="Lucida Sans"/>
      <family val="2"/>
      <scheme val="minor"/>
    </font>
    <font>
      <sz val="12"/>
      <name val="Lucida Sans"/>
      <family val="2"/>
      <scheme val="minor"/>
    </font>
    <font>
      <b/>
      <sz val="11"/>
      <name val="Lucida Sans"/>
      <family val="2"/>
      <scheme val="minor"/>
    </font>
    <font>
      <b/>
      <sz val="11"/>
      <color theme="0"/>
      <name val="Lucida Sans"/>
      <family val="2"/>
      <charset val="238"/>
      <scheme val="minor"/>
    </font>
    <font>
      <sz val="11"/>
      <name val="Lucida Sans"/>
      <family val="2"/>
      <scheme val="minor"/>
    </font>
    <font>
      <sz val="11"/>
      <name val="Lucida Sans"/>
      <family val="2"/>
      <charset val="238"/>
      <scheme val="minor"/>
    </font>
    <font>
      <b/>
      <sz val="11"/>
      <color theme="1" tint="0.24994659260841701"/>
      <name val="Lucida Sans"/>
      <family val="2"/>
      <scheme val="minor"/>
    </font>
    <font>
      <b/>
      <sz val="11"/>
      <name val="Arial"/>
      <family val="2"/>
    </font>
  </fonts>
  <fills count="59">
    <fill>
      <patternFill patternType="none"/>
    </fill>
    <fill>
      <patternFill patternType="gray125"/>
    </fill>
    <fill>
      <patternFill patternType="solid">
        <fgColor indexed="9"/>
        <bgColor indexed="64"/>
      </patternFill>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2"/>
        <bgColor indexed="64"/>
      </patternFill>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7"/>
        <bgColor indexed="64"/>
      </patternFill>
    </fill>
    <fill>
      <patternFill patternType="solid">
        <fgColor theme="8"/>
        <bgColor indexed="64"/>
      </patternFill>
    </fill>
    <fill>
      <patternFill patternType="solid">
        <fgColor theme="8" tint="-0.249977111117893"/>
        <bgColor indexed="64"/>
      </patternFill>
    </fill>
    <fill>
      <patternFill patternType="solid">
        <fgColor theme="9" tint="-0.49998474074526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0000"/>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
      <patternFill patternType="solid">
        <fgColor rgb="FF00B0F0"/>
        <bgColor indexed="64"/>
      </patternFill>
    </fill>
  </fills>
  <borders count="18">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
        <color theme="4" tint="-0.24994659260841701"/>
      </bottom>
      <diagonal/>
    </border>
    <border>
      <left/>
      <right/>
      <top/>
      <bottom style="thin">
        <color theme="1"/>
      </bottom>
      <diagonal/>
    </border>
    <border>
      <left style="thin">
        <color theme="2" tint="-9.9978637043366805E-2"/>
      </left>
      <right/>
      <top/>
      <bottom style="thin">
        <color theme="2" tint="-9.9978637043366805E-2"/>
      </bottom>
      <diagonal/>
    </border>
    <border>
      <left/>
      <right/>
      <top/>
      <bottom style="thin">
        <color theme="2" tint="-9.9978637043366805E-2"/>
      </bottom>
      <diagonal/>
    </border>
    <border>
      <left/>
      <right style="thin">
        <color theme="2" tint="-9.9978637043366805E-2"/>
      </right>
      <top/>
      <bottom style="thin">
        <color theme="2" tint="-9.9978637043366805E-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2" tint="-9.9978637043366805E-2"/>
      </right>
      <top/>
      <bottom/>
      <diagonal/>
    </border>
    <border>
      <left style="thin">
        <color indexed="64"/>
      </left>
      <right style="thin">
        <color indexed="64"/>
      </right>
      <top style="thin">
        <color indexed="64"/>
      </top>
      <bottom style="thin">
        <color indexed="64"/>
      </bottom>
      <diagonal/>
    </border>
    <border>
      <left style="thin">
        <color theme="2" tint="-9.9978637043366805E-2"/>
      </left>
      <right/>
      <top/>
      <bottom/>
      <diagonal/>
    </border>
    <border>
      <left style="thin">
        <color indexed="64"/>
      </left>
      <right style="thin">
        <color indexed="64"/>
      </right>
      <top/>
      <bottom/>
      <diagonal/>
    </border>
  </borders>
  <cellStyleXfs count="52">
    <xf numFmtId="0" fontId="0" fillId="0" borderId="0">
      <alignment vertical="top"/>
    </xf>
    <xf numFmtId="0" fontId="9" fillId="3" borderId="0" applyNumberFormat="0" applyBorder="0" applyAlignment="0" applyProtection="0"/>
    <xf numFmtId="0" fontId="8" fillId="0" borderId="3" applyNumberFormat="0" applyFill="0" applyProtection="0">
      <alignment horizontal="left" vertical="center" indent="1"/>
    </xf>
    <xf numFmtId="0" fontId="4" fillId="4" borderId="1" applyNumberFormat="0" applyAlignment="0" applyProtection="0"/>
    <xf numFmtId="0" fontId="5" fillId="5" borderId="2" applyNumberFormat="0" applyProtection="0">
      <alignment vertical="center"/>
    </xf>
    <xf numFmtId="0" fontId="6" fillId="0" borderId="0" applyFill="0" applyBorder="0" applyProtection="0">
      <alignment vertical="center"/>
    </xf>
    <xf numFmtId="43" fontId="7" fillId="0" borderId="0" applyFont="0" applyFill="0" applyBorder="0" applyAlignment="0" applyProtection="0"/>
    <xf numFmtId="41" fontId="7" fillId="0" borderId="0" applyFont="0" applyFill="0" applyBorder="0" applyAlignment="0" applyProtection="0"/>
    <xf numFmtId="165"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0" fontId="10" fillId="6" borderId="0" applyBorder="0" applyProtection="0">
      <alignment horizontal="left" vertical="top" wrapText="1" indent="1"/>
    </xf>
    <xf numFmtId="0" fontId="8" fillId="0" borderId="0" applyFill="0" applyProtection="0"/>
    <xf numFmtId="0" fontId="11" fillId="0" borderId="0" applyFill="0" applyProtection="0"/>
    <xf numFmtId="0" fontId="15" fillId="2" borderId="0">
      <alignment vertical="center"/>
    </xf>
    <xf numFmtId="0" fontId="16" fillId="0" borderId="4">
      <alignment horizontal="left" vertical="center" indent="1"/>
    </xf>
    <xf numFmtId="166" fontId="10" fillId="7" borderId="0">
      <alignment horizontal="left" wrapText="1" indent="1"/>
    </xf>
    <xf numFmtId="166" fontId="14" fillId="0" borderId="0">
      <alignment horizontal="left" indent="1"/>
    </xf>
    <xf numFmtId="0" fontId="13" fillId="0" borderId="0" applyAlignment="0">
      <alignment horizontal="left"/>
    </xf>
    <xf numFmtId="0" fontId="21" fillId="21" borderId="0" applyNumberFormat="0" applyBorder="0" applyAlignment="0" applyProtection="0"/>
    <xf numFmtId="0" fontId="22" fillId="22" borderId="0" applyNumberFormat="0" applyBorder="0" applyAlignment="0" applyProtection="0"/>
    <xf numFmtId="0" fontId="23" fillId="23" borderId="0" applyNumberFormat="0" applyBorder="0" applyAlignment="0" applyProtection="0"/>
    <xf numFmtId="0" fontId="24" fillId="24" borderId="8" applyNumberFormat="0" applyAlignment="0" applyProtection="0"/>
    <xf numFmtId="0" fontId="25" fillId="25" borderId="9" applyNumberFormat="0" applyAlignment="0" applyProtection="0"/>
    <xf numFmtId="0" fontId="26" fillId="25" borderId="8" applyNumberFormat="0" applyAlignment="0" applyProtection="0"/>
    <xf numFmtId="0" fontId="27" fillId="0" borderId="10" applyNumberFormat="0" applyFill="0" applyAlignment="0" applyProtection="0"/>
    <xf numFmtId="0" fontId="4" fillId="26" borderId="11" applyNumberFormat="0" applyAlignment="0" applyProtection="0"/>
    <xf numFmtId="0" fontId="28" fillId="0" borderId="0" applyNumberFormat="0" applyFill="0" applyBorder="0" applyAlignment="0" applyProtection="0"/>
    <xf numFmtId="0" fontId="11" fillId="27" borderId="12" applyNumberFormat="0" applyFont="0" applyAlignment="0" applyProtection="0"/>
    <xf numFmtId="0" fontId="29" fillId="0" borderId="0" applyNumberFormat="0" applyFill="0" applyBorder="0" applyAlignment="0" applyProtection="0"/>
    <xf numFmtId="0" fontId="30" fillId="0" borderId="13" applyNumberFormat="0" applyFill="0" applyAlignment="0" applyProtection="0"/>
    <xf numFmtId="0" fontId="1" fillId="28" borderId="0" applyNumberFormat="0" applyBorder="0" applyAlignment="0" applyProtection="0"/>
    <xf numFmtId="0" fontId="1" fillId="29" borderId="0" applyNumberFormat="0" applyBorder="0" applyAlignment="0" applyProtection="0"/>
    <xf numFmtId="0" fontId="20"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0"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0"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20" fillId="45" borderId="0" applyNumberFormat="0" applyBorder="0" applyAlignment="0" applyProtection="0"/>
    <xf numFmtId="0" fontId="1"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cellStyleXfs>
  <cellXfs count="172">
    <xf numFmtId="0" fontId="0" fillId="0" borderId="0" xfId="0">
      <alignment vertical="top"/>
    </xf>
    <xf numFmtId="0" fontId="0" fillId="2" borderId="0" xfId="0" applyFill="1">
      <alignment vertical="top"/>
    </xf>
    <xf numFmtId="0" fontId="3" fillId="0" borderId="0" xfId="0" applyFont="1">
      <alignment vertical="top"/>
    </xf>
    <xf numFmtId="0" fontId="0" fillId="0" borderId="0" xfId="0" applyAlignment="1">
      <alignment horizontal="left" indent="1"/>
    </xf>
    <xf numFmtId="0" fontId="0" fillId="2" borderId="0" xfId="0" applyFill="1" applyAlignment="1">
      <alignment horizontal="right"/>
    </xf>
    <xf numFmtId="0" fontId="0" fillId="0" borderId="0" xfId="0" applyFont="1">
      <alignment vertical="top"/>
    </xf>
    <xf numFmtId="0" fontId="0" fillId="2" borderId="0" xfId="0" applyFont="1" applyFill="1" applyAlignment="1">
      <alignment horizontal="right"/>
    </xf>
    <xf numFmtId="0" fontId="0" fillId="0" borderId="0" xfId="0">
      <alignment vertical="top"/>
    </xf>
    <xf numFmtId="0" fontId="0" fillId="0" borderId="0" xfId="0">
      <alignment vertical="top"/>
    </xf>
    <xf numFmtId="0" fontId="16" fillId="0" borderId="4" xfId="15">
      <alignment horizontal="left" vertical="center" indent="1"/>
    </xf>
    <xf numFmtId="0" fontId="17" fillId="0" borderId="0" xfId="13" applyFont="1" applyAlignment="1">
      <alignment horizontal="right"/>
    </xf>
    <xf numFmtId="0" fontId="13" fillId="0" borderId="0" xfId="18" applyAlignment="1">
      <alignment horizontal="left"/>
    </xf>
    <xf numFmtId="0" fontId="17" fillId="0" borderId="0" xfId="13" applyFont="1" applyAlignment="1">
      <alignment horizontal="right" vertical="top"/>
    </xf>
    <xf numFmtId="0" fontId="13" fillId="0" borderId="0" xfId="18" applyAlignment="1">
      <alignment horizontal="left" vertical="top"/>
    </xf>
    <xf numFmtId="0" fontId="6" fillId="9" borderId="0" xfId="5" applyFill="1" applyBorder="1" applyAlignment="1">
      <alignment horizontal="left" vertical="center"/>
    </xf>
    <xf numFmtId="0" fontId="8" fillId="9" borderId="0" xfId="2" applyFill="1" applyBorder="1" applyAlignment="1">
      <alignment vertical="center"/>
    </xf>
    <xf numFmtId="0" fontId="15" fillId="11" borderId="0" xfId="14" applyFont="1" applyFill="1">
      <alignment vertical="center"/>
    </xf>
    <xf numFmtId="0" fontId="6" fillId="11" borderId="0" xfId="5" applyFill="1" applyBorder="1" applyAlignment="1">
      <alignment horizontal="left" vertical="center"/>
    </xf>
    <xf numFmtId="0" fontId="6" fillId="11" borderId="0" xfId="5" applyNumberFormat="1" applyFill="1" applyBorder="1" applyAlignment="1">
      <alignment horizontal="left" vertical="center"/>
    </xf>
    <xf numFmtId="0" fontId="8" fillId="11" borderId="0" xfId="2" applyFill="1" applyBorder="1" applyAlignment="1">
      <alignment vertical="center"/>
    </xf>
    <xf numFmtId="0" fontId="6" fillId="11" borderId="0" xfId="5" applyFill="1" applyAlignment="1">
      <alignment horizontal="left" vertical="center"/>
    </xf>
    <xf numFmtId="0" fontId="15" fillId="12" borderId="0" xfId="14" applyFill="1">
      <alignment vertical="center"/>
    </xf>
    <xf numFmtId="0" fontId="6" fillId="12" borderId="0" xfId="5" applyFill="1" applyBorder="1" applyAlignment="1">
      <alignment horizontal="left" vertical="center"/>
    </xf>
    <xf numFmtId="0" fontId="8" fillId="12" borderId="0" xfId="2" applyFill="1" applyBorder="1" applyAlignment="1">
      <alignment vertical="center"/>
    </xf>
    <xf numFmtId="0" fontId="6" fillId="12" borderId="0" xfId="5" applyFill="1" applyBorder="1" applyAlignment="1">
      <alignment horizontal="right" vertical="center"/>
    </xf>
    <xf numFmtId="0" fontId="15" fillId="13" borderId="0" xfId="14" applyFill="1">
      <alignment vertical="center"/>
    </xf>
    <xf numFmtId="0" fontId="6" fillId="13" borderId="0" xfId="5" applyFill="1" applyBorder="1" applyAlignment="1">
      <alignment horizontal="left" vertical="center"/>
    </xf>
    <xf numFmtId="0" fontId="8" fillId="13" borderId="0" xfId="2" applyFill="1" applyBorder="1" applyAlignment="1">
      <alignment vertical="center"/>
    </xf>
    <xf numFmtId="0" fontId="6" fillId="13" borderId="0" xfId="5" applyFill="1" applyBorder="1" applyAlignment="1">
      <alignment horizontal="right" vertical="center"/>
    </xf>
    <xf numFmtId="0" fontId="15" fillId="9" borderId="0" xfId="14" applyFill="1">
      <alignment vertical="center"/>
    </xf>
    <xf numFmtId="0" fontId="6" fillId="9" borderId="0" xfId="5" applyFill="1" applyBorder="1" applyAlignment="1">
      <alignment horizontal="right" vertical="center"/>
    </xf>
    <xf numFmtId="0" fontId="15" fillId="14" borderId="0" xfId="14" applyFill="1">
      <alignment vertical="center"/>
    </xf>
    <xf numFmtId="0" fontId="6" fillId="14" borderId="0" xfId="5" applyFill="1" applyBorder="1" applyAlignment="1">
      <alignment horizontal="left" vertical="center"/>
    </xf>
    <xf numFmtId="0" fontId="8" fillId="14" borderId="0" xfId="2" applyFill="1" applyBorder="1" applyAlignment="1">
      <alignment vertical="center"/>
    </xf>
    <xf numFmtId="0" fontId="6" fillId="14" borderId="0" xfId="5" applyFill="1" applyBorder="1" applyAlignment="1">
      <alignment horizontal="right" vertical="center"/>
    </xf>
    <xf numFmtId="0" fontId="18" fillId="10" borderId="0" xfId="14" applyFont="1" applyFill="1">
      <alignment vertical="center"/>
    </xf>
    <xf numFmtId="0" fontId="19" fillId="10" borderId="0" xfId="5" applyFont="1" applyFill="1" applyBorder="1" applyAlignment="1">
      <alignment horizontal="left" vertical="center"/>
    </xf>
    <xf numFmtId="0" fontId="20" fillId="10" borderId="0" xfId="2" applyFont="1" applyFill="1" applyBorder="1" applyAlignment="1">
      <alignment vertical="center"/>
    </xf>
    <xf numFmtId="0" fontId="19" fillId="10" borderId="0" xfId="5" applyFont="1" applyFill="1" applyBorder="1" applyAlignment="1">
      <alignment horizontal="right" vertical="center"/>
    </xf>
    <xf numFmtId="0" fontId="15" fillId="15" borderId="0" xfId="14" applyFill="1">
      <alignment vertical="center"/>
    </xf>
    <xf numFmtId="0" fontId="6" fillId="15" borderId="0" xfId="5" applyFill="1" applyBorder="1" applyAlignment="1">
      <alignment horizontal="left" vertical="center"/>
    </xf>
    <xf numFmtId="0" fontId="8" fillId="15" borderId="0" xfId="2" applyFill="1" applyBorder="1" applyAlignment="1">
      <alignment vertical="center"/>
    </xf>
    <xf numFmtId="0" fontId="6" fillId="15" borderId="0" xfId="5" applyFill="1" applyBorder="1" applyAlignment="1">
      <alignment horizontal="right" vertical="center"/>
    </xf>
    <xf numFmtId="0" fontId="15" fillId="16" borderId="0" xfId="14" applyFill="1">
      <alignment vertical="center"/>
    </xf>
    <xf numFmtId="0" fontId="6" fillId="16" borderId="0" xfId="5" applyFill="1" applyBorder="1" applyAlignment="1">
      <alignment horizontal="left" vertical="center"/>
    </xf>
    <xf numFmtId="0" fontId="8" fillId="16" borderId="0" xfId="2" applyFill="1" applyBorder="1" applyAlignment="1">
      <alignment vertical="center"/>
    </xf>
    <xf numFmtId="0" fontId="6" fillId="16" borderId="0" xfId="5" applyFill="1" applyBorder="1" applyAlignment="1">
      <alignment horizontal="right" vertical="center"/>
    </xf>
    <xf numFmtId="0" fontId="15" fillId="17" borderId="0" xfId="14" applyFill="1">
      <alignment vertical="center"/>
    </xf>
    <xf numFmtId="0" fontId="6" fillId="17" borderId="0" xfId="5" applyFill="1" applyBorder="1" applyAlignment="1">
      <alignment horizontal="left" vertical="center"/>
    </xf>
    <xf numFmtId="0" fontId="8" fillId="17" borderId="0" xfId="2" applyFill="1" applyBorder="1" applyAlignment="1">
      <alignment vertical="center"/>
    </xf>
    <xf numFmtId="0" fontId="6" fillId="17" borderId="0" xfId="5" applyFill="1" applyBorder="1" applyAlignment="1">
      <alignment horizontal="right" vertical="center"/>
    </xf>
    <xf numFmtId="0" fontId="6" fillId="18" borderId="0" xfId="5" applyFill="1" applyBorder="1" applyAlignment="1">
      <alignment horizontal="left" vertical="center"/>
    </xf>
    <xf numFmtId="0" fontId="8" fillId="18" borderId="0" xfId="2" applyFill="1" applyBorder="1" applyAlignment="1">
      <alignment vertical="center"/>
    </xf>
    <xf numFmtId="0" fontId="6" fillId="18" borderId="0" xfId="5" applyFill="1" applyBorder="1" applyAlignment="1">
      <alignment horizontal="right" vertical="center"/>
    </xf>
    <xf numFmtId="0" fontId="6" fillId="19" borderId="0" xfId="5" applyFill="1" applyBorder="1" applyAlignment="1">
      <alignment horizontal="left" vertical="center"/>
    </xf>
    <xf numFmtId="0" fontId="8" fillId="19" borderId="0" xfId="2" applyFill="1" applyBorder="1" applyAlignment="1">
      <alignment vertical="center"/>
    </xf>
    <xf numFmtId="0" fontId="6" fillId="19" borderId="0" xfId="5" applyFill="1" applyBorder="1" applyAlignment="1">
      <alignment horizontal="right" vertical="center"/>
    </xf>
    <xf numFmtId="0" fontId="18" fillId="18" borderId="0" xfId="14" applyFont="1" applyFill="1">
      <alignment vertical="center"/>
    </xf>
    <xf numFmtId="0" fontId="15" fillId="20" borderId="0" xfId="14" applyFill="1">
      <alignment vertical="center"/>
    </xf>
    <xf numFmtId="0" fontId="6" fillId="20" borderId="0" xfId="5" applyFill="1" applyBorder="1" applyAlignment="1">
      <alignment horizontal="left" vertical="center"/>
    </xf>
    <xf numFmtId="0" fontId="8" fillId="20" borderId="0" xfId="2" applyFill="1" applyBorder="1" applyAlignment="1">
      <alignment vertical="center"/>
    </xf>
    <xf numFmtId="0" fontId="6" fillId="20" borderId="0" xfId="5" applyFill="1" applyBorder="1" applyAlignment="1">
      <alignment horizontal="right" vertical="center"/>
    </xf>
    <xf numFmtId="0" fontId="18" fillId="19" borderId="0" xfId="14" applyFont="1" applyFill="1">
      <alignment vertical="center"/>
    </xf>
    <xf numFmtId="0" fontId="10" fillId="8" borderId="5" xfId="11" applyFill="1" applyBorder="1" applyAlignment="1">
      <alignment vertical="top"/>
    </xf>
    <xf numFmtId="166" fontId="14" fillId="0" borderId="0" xfId="17" applyNumberFormat="1">
      <alignment horizontal="left" indent="1"/>
    </xf>
    <xf numFmtId="166" fontId="10" fillId="7" borderId="0" xfId="16" applyNumberFormat="1" applyAlignment="1">
      <alignment horizontal="left" indent="1"/>
    </xf>
    <xf numFmtId="0" fontId="10" fillId="7" borderId="0" xfId="16" applyNumberFormat="1" applyAlignment="1">
      <alignment horizontal="left" indent="1"/>
    </xf>
    <xf numFmtId="0" fontId="16" fillId="0" borderId="0" xfId="15" applyFont="1" applyBorder="1">
      <alignment horizontal="left" vertical="center" indent="1"/>
    </xf>
    <xf numFmtId="166" fontId="14" fillId="0" borderId="15" xfId="17" applyNumberFormat="1" applyBorder="1">
      <alignment horizontal="left" indent="1"/>
    </xf>
    <xf numFmtId="0" fontId="14" fillId="0" borderId="15" xfId="17" applyNumberFormat="1" applyBorder="1">
      <alignment horizontal="left" indent="1"/>
    </xf>
    <xf numFmtId="166" fontId="14" fillId="7" borderId="15" xfId="16" applyNumberFormat="1" applyFont="1" applyBorder="1" applyAlignment="1">
      <alignment horizontal="left" indent="1"/>
    </xf>
    <xf numFmtId="0" fontId="14" fillId="7" borderId="15" xfId="16" applyNumberFormat="1" applyFont="1" applyBorder="1" applyAlignment="1">
      <alignment horizontal="left" indent="1"/>
    </xf>
    <xf numFmtId="166" fontId="10" fillId="7" borderId="15" xfId="16" applyNumberFormat="1" applyBorder="1" applyAlignment="1">
      <alignment horizontal="left" indent="1"/>
    </xf>
    <xf numFmtId="0" fontId="10" fillId="7" borderId="15" xfId="16" applyNumberFormat="1" applyBorder="1" applyAlignment="1">
      <alignment horizontal="left" indent="1"/>
    </xf>
    <xf numFmtId="166" fontId="14" fillId="49" borderId="15" xfId="17" applyNumberFormat="1" applyFill="1" applyBorder="1">
      <alignment horizontal="left" indent="1"/>
    </xf>
    <xf numFmtId="166" fontId="14" fillId="49" borderId="15" xfId="16" applyNumberFormat="1" applyFont="1" applyFill="1" applyBorder="1" applyAlignment="1">
      <alignment horizontal="left" indent="1"/>
    </xf>
    <xf numFmtId="166" fontId="10" fillId="49" borderId="15" xfId="16" applyNumberFormat="1" applyFill="1" applyBorder="1" applyAlignment="1">
      <alignment horizontal="left" indent="1"/>
    </xf>
    <xf numFmtId="0" fontId="12" fillId="8" borderId="0" xfId="0" applyNumberFormat="1" applyFont="1" applyFill="1" applyBorder="1" applyAlignment="1">
      <alignment horizontal="left" indent="1"/>
    </xf>
    <xf numFmtId="0" fontId="10" fillId="8" borderId="6" xfId="11" applyFill="1" applyBorder="1" applyAlignment="1">
      <alignment vertical="top"/>
    </xf>
    <xf numFmtId="166" fontId="31" fillId="8" borderId="15" xfId="17" applyNumberFormat="1" applyFont="1" applyFill="1" applyBorder="1">
      <alignment horizontal="left" indent="1"/>
    </xf>
    <xf numFmtId="166" fontId="31" fillId="7" borderId="15" xfId="16" applyNumberFormat="1" applyFont="1" applyBorder="1" applyAlignment="1">
      <alignment horizontal="left" indent="1"/>
    </xf>
    <xf numFmtId="0" fontId="10" fillId="8" borderId="15" xfId="16" applyNumberFormat="1" applyFill="1" applyBorder="1" applyAlignment="1">
      <alignment horizontal="left" indent="1"/>
    </xf>
    <xf numFmtId="166" fontId="10" fillId="8" borderId="15" xfId="16" applyNumberFormat="1" applyFill="1" applyBorder="1" applyAlignment="1">
      <alignment horizontal="left" indent="1"/>
    </xf>
    <xf numFmtId="166" fontId="31" fillId="0" borderId="15" xfId="17" applyNumberFormat="1" applyFont="1" applyBorder="1">
      <alignment horizontal="left" indent="1"/>
    </xf>
    <xf numFmtId="0" fontId="32" fillId="0" borderId="15" xfId="0" applyFont="1" applyBorder="1" applyAlignment="1">
      <alignment horizontal="center" vertical="center" wrapText="1"/>
    </xf>
    <xf numFmtId="0" fontId="0" fillId="8" borderId="0" xfId="0" applyFont="1" applyFill="1">
      <alignment vertical="top"/>
    </xf>
    <xf numFmtId="0" fontId="33" fillId="7" borderId="15" xfId="16" applyNumberFormat="1" applyFont="1" applyBorder="1" applyAlignment="1">
      <alignment horizontal="left" indent="1"/>
    </xf>
    <xf numFmtId="0" fontId="12" fillId="8" borderId="16" xfId="0" applyNumberFormat="1" applyFont="1" applyFill="1" applyBorder="1" applyAlignment="1">
      <alignment horizontal="left" indent="1"/>
    </xf>
    <xf numFmtId="0" fontId="16" fillId="50" borderId="4" xfId="15" applyFill="1">
      <alignment horizontal="left" vertical="center" indent="1"/>
    </xf>
    <xf numFmtId="166" fontId="10" fillId="50" borderId="0" xfId="16" applyNumberFormat="1" applyFill="1" applyAlignment="1">
      <alignment horizontal="left" indent="1"/>
    </xf>
    <xf numFmtId="166" fontId="14" fillId="50" borderId="0" xfId="17" applyNumberFormat="1" applyFill="1">
      <alignment horizontal="left" indent="1"/>
    </xf>
    <xf numFmtId="0" fontId="0" fillId="8" borderId="0" xfId="0" applyFill="1" applyAlignment="1">
      <alignment horizontal="left" indent="1"/>
    </xf>
    <xf numFmtId="0" fontId="34" fillId="8" borderId="15" xfId="0" applyFont="1" applyFill="1" applyBorder="1" applyAlignment="1">
      <alignment horizontal="center" vertical="center"/>
    </xf>
    <xf numFmtId="0" fontId="14" fillId="8" borderId="15" xfId="17" applyNumberFormat="1" applyFill="1" applyBorder="1">
      <alignment horizontal="left" indent="1"/>
    </xf>
    <xf numFmtId="166" fontId="35" fillId="8" borderId="15" xfId="16" applyNumberFormat="1" applyFont="1" applyFill="1" applyBorder="1" applyAlignment="1">
      <alignment horizontal="left" indent="1"/>
    </xf>
    <xf numFmtId="0" fontId="35" fillId="8" borderId="15" xfId="16" applyNumberFormat="1" applyFont="1" applyFill="1" applyBorder="1" applyAlignment="1">
      <alignment horizontal="left" indent="1"/>
    </xf>
    <xf numFmtId="166" fontId="10" fillId="51" borderId="15" xfId="16" applyNumberFormat="1" applyFill="1" applyBorder="1" applyAlignment="1">
      <alignment horizontal="left" indent="1"/>
    </xf>
    <xf numFmtId="0" fontId="0" fillId="8" borderId="0" xfId="0" applyFill="1">
      <alignment vertical="top"/>
    </xf>
    <xf numFmtId="0" fontId="35" fillId="8" borderId="0" xfId="0" applyFont="1" applyFill="1" applyAlignment="1">
      <alignment horizontal="left" indent="1"/>
    </xf>
    <xf numFmtId="0" fontId="16" fillId="0" borderId="0" xfId="15" applyBorder="1">
      <alignment horizontal="left" vertical="center" indent="1"/>
    </xf>
    <xf numFmtId="0" fontId="0" fillId="0" borderId="15" xfId="0" applyNumberFormat="1" applyBorder="1" applyAlignment="1">
      <alignment horizontal="left"/>
    </xf>
    <xf numFmtId="0" fontId="14" fillId="0" borderId="15" xfId="17" applyNumberFormat="1" applyBorder="1" applyAlignment="1">
      <alignment horizontal="left"/>
    </xf>
    <xf numFmtId="0" fontId="10" fillId="7" borderId="15" xfId="16" applyNumberFormat="1" applyBorder="1" applyAlignment="1">
      <alignment horizontal="left"/>
    </xf>
    <xf numFmtId="166" fontId="14" fillId="10" borderId="15" xfId="17" applyNumberFormat="1" applyFill="1" applyBorder="1">
      <alignment horizontal="left" indent="1"/>
    </xf>
    <xf numFmtId="0" fontId="20" fillId="0" borderId="0" xfId="0" applyFont="1">
      <alignment vertical="top"/>
    </xf>
    <xf numFmtId="166" fontId="4" fillId="10" borderId="15" xfId="16" applyNumberFormat="1" applyFont="1" applyFill="1" applyBorder="1" applyAlignment="1">
      <alignment horizontal="left" indent="1"/>
    </xf>
    <xf numFmtId="166" fontId="36" fillId="10" borderId="15" xfId="17" applyNumberFormat="1" applyFont="1" applyFill="1" applyBorder="1">
      <alignment horizontal="left" indent="1"/>
    </xf>
    <xf numFmtId="166" fontId="14" fillId="0" borderId="15" xfId="17" applyNumberFormat="1" applyFill="1" applyBorder="1">
      <alignment horizontal="left" indent="1"/>
    </xf>
    <xf numFmtId="166" fontId="35" fillId="7" borderId="15" xfId="16" applyNumberFormat="1" applyFont="1" applyBorder="1" applyAlignment="1">
      <alignment horizontal="left" indent="1"/>
    </xf>
    <xf numFmtId="0" fontId="31" fillId="8" borderId="15" xfId="17" applyNumberFormat="1" applyFont="1" applyFill="1" applyBorder="1" applyAlignment="1">
      <alignment horizontal="left"/>
    </xf>
    <xf numFmtId="0" fontId="10" fillId="8" borderId="15" xfId="16" applyNumberFormat="1" applyFill="1" applyBorder="1" applyAlignment="1">
      <alignment horizontal="left"/>
    </xf>
    <xf numFmtId="0" fontId="37" fillId="8" borderId="0" xfId="0" applyFont="1" applyFill="1">
      <alignment vertical="top"/>
    </xf>
    <xf numFmtId="0" fontId="37" fillId="8" borderId="15" xfId="0" applyFont="1" applyFill="1" applyBorder="1">
      <alignment vertical="top"/>
    </xf>
    <xf numFmtId="0" fontId="35" fillId="8" borderId="15" xfId="16" applyNumberFormat="1" applyFont="1" applyFill="1" applyBorder="1" applyAlignment="1">
      <alignment horizontal="left"/>
    </xf>
    <xf numFmtId="0" fontId="0" fillId="0" borderId="15" xfId="0" applyBorder="1">
      <alignment vertical="top"/>
    </xf>
    <xf numFmtId="0" fontId="0" fillId="8" borderId="15" xfId="0" applyFill="1" applyBorder="1">
      <alignment vertical="top"/>
    </xf>
    <xf numFmtId="166" fontId="14" fillId="20" borderId="0" xfId="17" applyNumberFormat="1" applyFill="1">
      <alignment horizontal="left" indent="1"/>
    </xf>
    <xf numFmtId="166" fontId="10" fillId="20" borderId="15" xfId="16" applyNumberFormat="1" applyFill="1" applyBorder="1" applyAlignment="1">
      <alignment horizontal="left" indent="1"/>
    </xf>
    <xf numFmtId="166" fontId="14" fillId="20" borderId="15" xfId="17" applyNumberFormat="1" applyFill="1" applyBorder="1">
      <alignment horizontal="left" indent="1"/>
    </xf>
    <xf numFmtId="0" fontId="7" fillId="7" borderId="15" xfId="16" applyNumberFormat="1" applyFont="1" applyBorder="1" applyAlignment="1">
      <alignment horizontal="left" indent="1"/>
    </xf>
    <xf numFmtId="166" fontId="14" fillId="8" borderId="15" xfId="17" applyNumberFormat="1" applyFill="1" applyBorder="1">
      <alignment horizontal="left" indent="1"/>
    </xf>
    <xf numFmtId="166" fontId="14" fillId="52" borderId="15" xfId="17" applyNumberFormat="1" applyFill="1" applyBorder="1">
      <alignment horizontal="left" indent="1"/>
    </xf>
    <xf numFmtId="166" fontId="10" fillId="52" borderId="15" xfId="16" applyNumberFormat="1" applyFill="1" applyBorder="1" applyAlignment="1">
      <alignment horizontal="left" indent="1"/>
    </xf>
    <xf numFmtId="0" fontId="38" fillId="8" borderId="15" xfId="0" applyFont="1" applyFill="1" applyBorder="1">
      <alignment vertical="top"/>
    </xf>
    <xf numFmtId="0" fontId="31" fillId="8" borderId="15" xfId="16" applyNumberFormat="1" applyFont="1" applyFill="1" applyBorder="1" applyAlignment="1">
      <alignment horizontal="left" indent="1"/>
    </xf>
    <xf numFmtId="166" fontId="4" fillId="9" borderId="0" xfId="17" applyNumberFormat="1" applyFont="1" applyFill="1">
      <alignment horizontal="left" indent="1"/>
    </xf>
    <xf numFmtId="166" fontId="4" fillId="9" borderId="15" xfId="16" applyNumberFormat="1" applyFont="1" applyFill="1" applyBorder="1" applyAlignment="1">
      <alignment horizontal="left" indent="1"/>
    </xf>
    <xf numFmtId="166" fontId="36" fillId="9" borderId="15" xfId="17" applyNumberFormat="1" applyFont="1" applyFill="1" applyBorder="1">
      <alignment horizontal="left" indent="1"/>
    </xf>
    <xf numFmtId="0" fontId="31" fillId="8" borderId="15" xfId="17" applyNumberFormat="1" applyFont="1" applyFill="1" applyBorder="1">
      <alignment horizontal="left" indent="1"/>
    </xf>
    <xf numFmtId="166" fontId="31" fillId="11" borderId="0" xfId="17" applyNumberFormat="1" applyFont="1" applyFill="1">
      <alignment horizontal="left" indent="1"/>
    </xf>
    <xf numFmtId="166" fontId="10" fillId="11" borderId="15" xfId="16" applyNumberFormat="1" applyFill="1" applyBorder="1" applyAlignment="1">
      <alignment horizontal="left" indent="1"/>
    </xf>
    <xf numFmtId="166" fontId="14" fillId="11" borderId="15" xfId="17" applyNumberFormat="1" applyFill="1" applyBorder="1">
      <alignment horizontal="left" indent="1"/>
    </xf>
    <xf numFmtId="0" fontId="34" fillId="8" borderId="15" xfId="0" applyFont="1" applyFill="1" applyBorder="1" applyAlignment="1">
      <alignment horizontal="center" vertical="center" wrapText="1"/>
    </xf>
    <xf numFmtId="0" fontId="35" fillId="8" borderId="15" xfId="0" applyFont="1" applyFill="1" applyBorder="1">
      <alignment vertical="top"/>
    </xf>
    <xf numFmtId="0" fontId="10" fillId="7" borderId="17" xfId="16" applyNumberFormat="1" applyBorder="1" applyAlignment="1">
      <alignment horizontal="left" indent="1"/>
    </xf>
    <xf numFmtId="0" fontId="14" fillId="53" borderId="15" xfId="17" applyNumberFormat="1" applyFill="1" applyBorder="1">
      <alignment horizontal="left" indent="1"/>
    </xf>
    <xf numFmtId="0" fontId="31" fillId="53" borderId="15" xfId="17" applyNumberFormat="1" applyFont="1" applyFill="1" applyBorder="1">
      <alignment horizontal="left" indent="1"/>
    </xf>
    <xf numFmtId="0" fontId="14" fillId="51" borderId="15" xfId="17" applyNumberFormat="1" applyFill="1" applyBorder="1">
      <alignment horizontal="left" indent="1"/>
    </xf>
    <xf numFmtId="0" fontId="31" fillId="51" borderId="15" xfId="17" applyNumberFormat="1" applyFont="1" applyFill="1" applyBorder="1">
      <alignment horizontal="left" indent="1"/>
    </xf>
    <xf numFmtId="0" fontId="31" fillId="54" borderId="15" xfId="17" applyNumberFormat="1" applyFont="1" applyFill="1" applyBorder="1">
      <alignment horizontal="left" indent="1"/>
    </xf>
    <xf numFmtId="166" fontId="31" fillId="54" borderId="15" xfId="17" applyNumberFormat="1" applyFont="1" applyFill="1" applyBorder="1">
      <alignment horizontal="left" indent="1"/>
    </xf>
    <xf numFmtId="166" fontId="14" fillId="55" borderId="15" xfId="17" applyNumberFormat="1" applyFill="1" applyBorder="1">
      <alignment horizontal="left" indent="1"/>
    </xf>
    <xf numFmtId="0" fontId="37" fillId="56" borderId="0" xfId="0" applyFont="1" applyFill="1">
      <alignment vertical="top"/>
    </xf>
    <xf numFmtId="166" fontId="36" fillId="11" borderId="15" xfId="17" applyNumberFormat="1" applyFont="1" applyFill="1" applyBorder="1">
      <alignment horizontal="left" indent="1"/>
    </xf>
    <xf numFmtId="166" fontId="4" fillId="11" borderId="15" xfId="16" applyNumberFormat="1" applyFont="1" applyFill="1" applyBorder="1" applyAlignment="1">
      <alignment horizontal="left" indent="1"/>
    </xf>
    <xf numFmtId="166" fontId="4" fillId="11" borderId="0" xfId="16" applyNumberFormat="1" applyFont="1" applyFill="1" applyAlignment="1">
      <alignment horizontal="left" indent="1"/>
    </xf>
    <xf numFmtId="0" fontId="10" fillId="52" borderId="15" xfId="16" applyNumberFormat="1" applyFill="1" applyBorder="1" applyAlignment="1">
      <alignment horizontal="left" indent="1"/>
    </xf>
    <xf numFmtId="0" fontId="39" fillId="0" borderId="0" xfId="0" applyFont="1" applyAlignment="1">
      <alignment horizontal="left" vertical="top"/>
    </xf>
    <xf numFmtId="0" fontId="12" fillId="8" borderId="15" xfId="0" applyNumberFormat="1" applyFont="1" applyFill="1" applyBorder="1" applyAlignment="1">
      <alignment horizontal="left" indent="1"/>
    </xf>
    <xf numFmtId="0" fontId="10" fillId="8" borderId="15" xfId="11" applyFill="1" applyBorder="1" applyAlignment="1">
      <alignment vertical="top"/>
    </xf>
    <xf numFmtId="166" fontId="35" fillId="0" borderId="15" xfId="17" applyNumberFormat="1" applyFont="1" applyBorder="1">
      <alignment horizontal="left" indent="1"/>
    </xf>
    <xf numFmtId="0" fontId="37" fillId="54" borderId="15" xfId="0" applyFont="1" applyFill="1" applyBorder="1">
      <alignment vertical="top"/>
    </xf>
    <xf numFmtId="0" fontId="35" fillId="52" borderId="15" xfId="16" applyNumberFormat="1" applyFont="1" applyFill="1" applyBorder="1" applyAlignment="1">
      <alignment horizontal="left" indent="1"/>
    </xf>
    <xf numFmtId="0" fontId="35" fillId="52" borderId="15" xfId="17" applyNumberFormat="1" applyFont="1" applyFill="1" applyBorder="1">
      <alignment horizontal="left" indent="1"/>
    </xf>
    <xf numFmtId="0" fontId="35" fillId="8" borderId="15" xfId="17" applyNumberFormat="1" applyFont="1" applyFill="1" applyBorder="1">
      <alignment horizontal="left" indent="1"/>
    </xf>
    <xf numFmtId="0" fontId="35" fillId="53" borderId="15" xfId="16" applyNumberFormat="1" applyFont="1" applyFill="1" applyBorder="1" applyAlignment="1">
      <alignment horizontal="left" indent="1"/>
    </xf>
    <xf numFmtId="0" fontId="35" fillId="52" borderId="0" xfId="0" applyFont="1" applyFill="1">
      <alignment vertical="top"/>
    </xf>
    <xf numFmtId="166" fontId="40" fillId="0" borderId="15" xfId="17" applyNumberFormat="1" applyFont="1" applyBorder="1">
      <alignment horizontal="left" indent="1"/>
    </xf>
    <xf numFmtId="0" fontId="10" fillId="8" borderId="15" xfId="17" applyNumberFormat="1" applyFont="1" applyFill="1" applyBorder="1">
      <alignment horizontal="left" indent="1"/>
    </xf>
    <xf numFmtId="0" fontId="35" fillId="8" borderId="15" xfId="11" applyFont="1" applyFill="1" applyBorder="1" applyAlignment="1">
      <alignment vertical="top"/>
    </xf>
    <xf numFmtId="166" fontId="35" fillId="57" borderId="15" xfId="16" applyNumberFormat="1" applyFont="1" applyFill="1" applyBorder="1" applyAlignment="1">
      <alignment horizontal="left" indent="1"/>
    </xf>
    <xf numFmtId="0" fontId="0" fillId="54" borderId="15" xfId="0" applyFill="1" applyBorder="1">
      <alignment vertical="top"/>
    </xf>
    <xf numFmtId="166" fontId="31" fillId="11" borderId="15" xfId="17" applyNumberFormat="1" applyFont="1" applyFill="1" applyBorder="1">
      <alignment horizontal="left" indent="1"/>
    </xf>
    <xf numFmtId="166" fontId="10" fillId="58" borderId="15" xfId="16" applyNumberFormat="1" applyFill="1" applyBorder="1" applyAlignment="1">
      <alignment horizontal="left" indent="1"/>
    </xf>
    <xf numFmtId="0" fontId="12" fillId="58" borderId="15" xfId="0" applyNumberFormat="1" applyFont="1" applyFill="1" applyBorder="1" applyAlignment="1">
      <alignment horizontal="left" indent="1"/>
    </xf>
    <xf numFmtId="0" fontId="0" fillId="8" borderId="0" xfId="0" applyFont="1" applyFill="1" applyBorder="1" applyAlignment="1">
      <alignment vertical="top"/>
    </xf>
    <xf numFmtId="0" fontId="0" fillId="8" borderId="14" xfId="0" applyFont="1" applyFill="1" applyBorder="1" applyAlignment="1">
      <alignment vertical="top"/>
    </xf>
    <xf numFmtId="0" fontId="0" fillId="8" borderId="6" xfId="0" applyFont="1" applyFill="1" applyBorder="1" applyAlignment="1">
      <alignment vertical="top"/>
    </xf>
    <xf numFmtId="0" fontId="0" fillId="8" borderId="7" xfId="0" applyFont="1" applyFill="1" applyBorder="1" applyAlignment="1">
      <alignment vertical="top"/>
    </xf>
    <xf numFmtId="0" fontId="16" fillId="0" borderId="4" xfId="15" applyAlignment="1">
      <alignment horizontal="center" vertical="center"/>
    </xf>
    <xf numFmtId="0" fontId="0" fillId="8" borderId="15" xfId="0" applyFont="1" applyFill="1" applyBorder="1" applyAlignment="1">
      <alignment vertical="top"/>
    </xf>
    <xf numFmtId="166" fontId="14" fillId="51" borderId="15" xfId="17" applyNumberFormat="1" applyFill="1" applyBorder="1">
      <alignment horizontal="left" indent="1"/>
    </xf>
  </cellXfs>
  <cellStyles count="52">
    <cellStyle name="20% - Énfasis1" xfId="31" builtinId="30" customBuiltin="1"/>
    <cellStyle name="20% - Énfasis2" xfId="34" builtinId="34" customBuiltin="1"/>
    <cellStyle name="20% - Énfasis3" xfId="38" builtinId="38" customBuiltin="1"/>
    <cellStyle name="20% - Énfasis4" xfId="42" builtinId="42" customBuiltin="1"/>
    <cellStyle name="20% - Énfasis5" xfId="45" builtinId="46" customBuiltin="1"/>
    <cellStyle name="20% - Énfasis6" xfId="49" builtinId="50" customBuiltin="1"/>
    <cellStyle name="40% - Énfasis1" xfId="1" builtinId="31" customBuiltin="1"/>
    <cellStyle name="40% - Énfasis2" xfId="35" builtinId="35" customBuiltin="1"/>
    <cellStyle name="40% - Énfasis3" xfId="39" builtinId="39" customBuiltin="1"/>
    <cellStyle name="40% - Énfasis4" xfId="43" builtinId="43" customBuiltin="1"/>
    <cellStyle name="40% - Énfasis5" xfId="46" builtinId="47" customBuiltin="1"/>
    <cellStyle name="40% - Énfasis6" xfId="50"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7" builtinId="48" customBuiltin="1"/>
    <cellStyle name="60% - Énfasis6" xfId="51" builtinId="52" customBuiltin="1"/>
    <cellStyle name="Bueno" xfId="19" builtinId="26" customBuiltin="1"/>
    <cellStyle name="Cálculo" xfId="24" builtinId="22" customBuiltin="1"/>
    <cellStyle name="Celda de comprobación" xfId="26" builtinId="23" customBuiltin="1"/>
    <cellStyle name="Celda vinculada" xfId="25" builtinId="24" customBuiltin="1"/>
    <cellStyle name="Con bandas" xfId="16"/>
    <cellStyle name="Día" xfId="17"/>
    <cellStyle name="Día: nombre" xfId="15"/>
    <cellStyle name="Encabezado 1" xfId="2" builtinId="16" customBuiltin="1"/>
    <cellStyle name="Encabezado 4" xfId="11" builtinId="19" customBuiltin="1"/>
    <cellStyle name="Énfasis1" xfId="3" builtinId="29" customBuiltin="1"/>
    <cellStyle name="Énfasis2" xfId="33" builtinId="33" customBuiltin="1"/>
    <cellStyle name="Énfasis3" xfId="37" builtinId="37" customBuiltin="1"/>
    <cellStyle name="Énfasis4" xfId="41" builtinId="41" customBuiltin="1"/>
    <cellStyle name="Énfasis5" xfId="4" builtinId="45" customBuiltin="1"/>
    <cellStyle name="Énfasis6" xfId="48" builtinId="49" customBuiltin="1"/>
    <cellStyle name="Entrada" xfId="22" builtinId="20" customBuiltin="1"/>
    <cellStyle name="Entrada de configuración" xfId="18"/>
    <cellStyle name="Incorrecto" xfId="20" builtinId="27" customBuiltin="1"/>
    <cellStyle name="Mes" xfId="14"/>
    <cellStyle name="Millares" xfId="6" builtinId="3" customBuiltin="1"/>
    <cellStyle name="Millares [0]" xfId="7" builtinId="6" customBuiltin="1"/>
    <cellStyle name="Moneda" xfId="8" builtinId="4" customBuiltin="1"/>
    <cellStyle name="Moneda [0]" xfId="9" builtinId="7" customBuiltin="1"/>
    <cellStyle name="Neutral" xfId="21" builtinId="28" customBuiltin="1"/>
    <cellStyle name="Normal" xfId="0" builtinId="0" customBuiltin="1"/>
    <cellStyle name="Notas" xfId="28" builtinId="10" customBuiltin="1"/>
    <cellStyle name="Porcentaje" xfId="10" builtinId="5" customBuiltin="1"/>
    <cellStyle name="Salida" xfId="23" builtinId="21" customBuiltin="1"/>
    <cellStyle name="Texto de advertencia" xfId="27" builtinId="11" customBuiltin="1"/>
    <cellStyle name="Texto explicativo" xfId="29" builtinId="53" customBuiltin="1"/>
    <cellStyle name="Título" xfId="5" builtinId="15" customBuiltin="1"/>
    <cellStyle name="Título 2" xfId="12" builtinId="17" customBuiltin="1"/>
    <cellStyle name="Título 3" xfId="13" builtinId="18" customBuiltin="1"/>
    <cellStyle name="Total" xfId="30" builtinId="25" customBuiltin="1"/>
  </cellStyles>
  <dxfs count="41">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
      <font>
        <color theme="0" tint="-0.24994659260841701"/>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Personal">
  <a:themeElements>
    <a:clrScheme name="Rainbow">
      <a:dk1>
        <a:srgbClr val="000000"/>
      </a:dk1>
      <a:lt1>
        <a:srgbClr val="FFFFFF"/>
      </a:lt1>
      <a:dk2>
        <a:srgbClr val="7E8083"/>
      </a:dk2>
      <a:lt2>
        <a:srgbClr val="E4E5E6"/>
      </a:lt2>
      <a:accent1>
        <a:srgbClr val="7AC143"/>
      </a:accent1>
      <a:accent2>
        <a:srgbClr val="00853E"/>
      </a:accent2>
      <a:accent3>
        <a:srgbClr val="00ADEE"/>
      </a:accent3>
      <a:accent4>
        <a:srgbClr val="FFC000"/>
      </a:accent4>
      <a:accent5>
        <a:srgbClr val="F47920"/>
      </a:accent5>
      <a:accent6>
        <a:srgbClr val="E51937"/>
      </a:accent6>
      <a:hlink>
        <a:srgbClr val="F47920"/>
      </a:hlink>
      <a:folHlink>
        <a:srgbClr val="954F72"/>
      </a:folHlink>
    </a:clrScheme>
    <a:fontScheme name="Custom 2">
      <a:majorFont>
        <a:latin typeface="Rockwell"/>
        <a:ea typeface=""/>
        <a:cs typeface=""/>
      </a:majorFont>
      <a:minorFont>
        <a:latin typeface="Lucida San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6"/>
    <pageSetUpPr autoPageBreaks="0" fitToPage="1"/>
  </sheetPr>
  <dimension ref="A1:K26"/>
  <sheetViews>
    <sheetView showGridLines="0" topLeftCell="D7" zoomScale="80" zoomScaleNormal="80" workbookViewId="0">
      <selection activeCell="F12" sqref="F12"/>
    </sheetView>
  </sheetViews>
  <sheetFormatPr baseColWidth="10" defaultColWidth="8.88671875" defaultRowHeight="14.25"/>
  <cols>
    <col min="1" max="1" width="2.77734375" style="7" customWidth="1"/>
    <col min="2" max="8" width="40.6640625" customWidth="1"/>
    <col min="9" max="9" width="2.77734375" customWidth="1"/>
    <col min="10" max="10" width="18.21875" customWidth="1"/>
    <col min="11" max="11" width="17.109375" customWidth="1"/>
  </cols>
  <sheetData>
    <row r="1" spans="1:11" s="1" customFormat="1" ht="59.25" customHeight="1">
      <c r="A1" s="7"/>
      <c r="B1" s="16" t="str">
        <f>"Enero "&amp;CalendarYear</f>
        <v>Enero 2025</v>
      </c>
      <c r="C1" s="17"/>
      <c r="D1" s="18"/>
      <c r="E1" s="19"/>
      <c r="F1" s="19"/>
      <c r="G1" s="19"/>
      <c r="H1" s="20"/>
    </row>
    <row r="2" spans="1:11" s="2" customFormat="1" ht="21.75" customHeight="1">
      <c r="A2" s="7"/>
      <c r="B2" s="67" t="str">
        <f>InicioDeSemana</f>
        <v>DOMINGO</v>
      </c>
      <c r="C2" s="67" t="str">
        <f t="shared" ref="C2:H2" si="0">UPPER(TEXT(C3,"dddd"))</f>
        <v>LUNES</v>
      </c>
      <c r="D2" s="67" t="str">
        <f>UPPER(TEXT(D3,"dddd"))</f>
        <v>MARTES</v>
      </c>
      <c r="E2" s="67" t="str">
        <f t="shared" si="0"/>
        <v>MIÉRCOLES</v>
      </c>
      <c r="F2" s="67" t="str">
        <f t="shared" si="0"/>
        <v>JUEVES</v>
      </c>
      <c r="G2" s="67" t="str">
        <f t="shared" si="0"/>
        <v>VIERNES</v>
      </c>
      <c r="H2" s="67" t="str">
        <f t="shared" si="0"/>
        <v>SÁBADO</v>
      </c>
      <c r="J2" s="169" t="s">
        <v>1</v>
      </c>
      <c r="K2" s="169"/>
    </row>
    <row r="3" spans="1:11" s="3" customFormat="1" ht="19.5" customHeight="1">
      <c r="A3" s="7"/>
      <c r="B3" s="74">
        <f t="array" ref="B3:H3">DaysAndWeeks+DATE(CalendarYear,1,1)-WEEKDAY(DATE(CalendarYear,1,1),(InicioDeSemana="Lunes")+1)+1</f>
        <v>45655</v>
      </c>
      <c r="C3" s="74">
        <v>45656</v>
      </c>
      <c r="D3" s="74">
        <v>45657</v>
      </c>
      <c r="E3" s="74">
        <v>45658</v>
      </c>
      <c r="F3" s="74">
        <v>45659</v>
      </c>
      <c r="G3" s="74">
        <v>45660</v>
      </c>
      <c r="H3" s="74">
        <v>45661</v>
      </c>
      <c r="J3" s="10" t="s">
        <v>2</v>
      </c>
      <c r="K3" s="11">
        <v>2025</v>
      </c>
    </row>
    <row r="4" spans="1:11" s="3" customFormat="1" ht="20.100000000000001" customHeight="1">
      <c r="A4" s="8"/>
      <c r="B4" s="68"/>
      <c r="C4" s="68"/>
      <c r="D4" s="68"/>
      <c r="E4" s="68" t="s">
        <v>5</v>
      </c>
      <c r="F4" s="68" t="s">
        <v>8</v>
      </c>
      <c r="G4" s="68" t="s">
        <v>11</v>
      </c>
      <c r="H4" s="68" t="s">
        <v>14</v>
      </c>
      <c r="J4" s="10"/>
      <c r="K4" s="11"/>
    </row>
    <row r="5" spans="1:11" s="3" customFormat="1" ht="20.100000000000001" customHeight="1">
      <c r="A5" s="8"/>
      <c r="B5" s="68"/>
      <c r="C5" s="68"/>
      <c r="D5" s="68"/>
      <c r="E5" s="68" t="s">
        <v>6</v>
      </c>
      <c r="F5" s="68" t="s">
        <v>9</v>
      </c>
      <c r="G5" s="68" t="s">
        <v>32</v>
      </c>
      <c r="H5" s="68" t="s">
        <v>15</v>
      </c>
      <c r="J5" s="10"/>
      <c r="K5" s="11"/>
    </row>
    <row r="6" spans="1:11" ht="20.100000000000001" customHeight="1">
      <c r="B6" s="69"/>
      <c r="C6" s="69"/>
      <c r="D6" s="69"/>
      <c r="E6" s="69" t="s">
        <v>7</v>
      </c>
      <c r="F6" s="69" t="s">
        <v>10</v>
      </c>
      <c r="G6" s="69" t="s">
        <v>13</v>
      </c>
      <c r="H6" s="69" t="s">
        <v>16</v>
      </c>
      <c r="J6" s="12" t="s">
        <v>3</v>
      </c>
      <c r="K6" s="13" t="s">
        <v>4</v>
      </c>
    </row>
    <row r="7" spans="1:11" s="3" customFormat="1" ht="20.100000000000001" customHeight="1">
      <c r="A7" s="7"/>
      <c r="B7" s="75">
        <f t="array" ref="B7:H7">DaysAndWeeks+DATE(CalendarYear,1,1)-WEEKDAY(DATE(CalendarYear,1,1),(InicioDeSemana="Lunes")+1)+8</f>
        <v>45662</v>
      </c>
      <c r="C7" s="75">
        <v>45663</v>
      </c>
      <c r="D7" s="75">
        <v>45664</v>
      </c>
      <c r="E7" s="75">
        <v>45665</v>
      </c>
      <c r="F7" s="75">
        <v>45666</v>
      </c>
      <c r="G7" s="75">
        <v>45667</v>
      </c>
      <c r="H7" s="75">
        <v>45668</v>
      </c>
    </row>
    <row r="8" spans="1:11" s="3" customFormat="1" ht="20.100000000000001" customHeight="1">
      <c r="A8" s="8"/>
      <c r="B8" s="80" t="s">
        <v>17</v>
      </c>
      <c r="C8" s="68" t="s">
        <v>45</v>
      </c>
      <c r="D8" s="70" t="s">
        <v>46</v>
      </c>
      <c r="E8" s="3" t="s">
        <v>52</v>
      </c>
      <c r="F8" s="80" t="s">
        <v>53</v>
      </c>
      <c r="G8" s="70" t="s">
        <v>24</v>
      </c>
      <c r="H8" s="70" t="s">
        <v>25</v>
      </c>
    </row>
    <row r="9" spans="1:11" s="3" customFormat="1" ht="20.100000000000001" customHeight="1">
      <c r="A9" s="8"/>
      <c r="B9" s="70" t="s">
        <v>18</v>
      </c>
      <c r="C9" s="70" t="s">
        <v>43</v>
      </c>
      <c r="D9" s="70" t="s">
        <v>34</v>
      </c>
      <c r="E9" s="70" t="s">
        <v>50</v>
      </c>
      <c r="F9" s="70" t="s">
        <v>44</v>
      </c>
      <c r="G9" s="70" t="s">
        <v>48</v>
      </c>
      <c r="H9" s="70" t="s">
        <v>21</v>
      </c>
    </row>
    <row r="10" spans="1:11" s="5" customFormat="1" ht="20.100000000000001" customHeight="1">
      <c r="A10" s="7"/>
      <c r="B10" s="71" t="s">
        <v>19</v>
      </c>
      <c r="C10" s="71" t="s">
        <v>55</v>
      </c>
      <c r="D10" s="71" t="s">
        <v>47</v>
      </c>
      <c r="E10" s="70" t="s">
        <v>23</v>
      </c>
      <c r="F10" s="5" t="s">
        <v>49</v>
      </c>
      <c r="G10" s="71" t="s">
        <v>42</v>
      </c>
      <c r="H10" s="71" t="s">
        <v>6</v>
      </c>
      <c r="J10" s="6"/>
    </row>
    <row r="11" spans="1:11" s="3" customFormat="1" ht="20.100000000000001" customHeight="1">
      <c r="A11" s="7"/>
      <c r="B11" s="74">
        <f t="array" ref="B11:H11">DaysAndWeeks+DATE(CalendarYear,1,1)-WEEKDAY(DATE(CalendarYear,1,1),(InicioDeSemana="Lunes")+1)+15</f>
        <v>45669</v>
      </c>
      <c r="C11" s="74">
        <v>45670</v>
      </c>
      <c r="D11" s="74">
        <v>45671</v>
      </c>
      <c r="E11" s="74">
        <v>45672</v>
      </c>
      <c r="F11" s="74">
        <v>45673</v>
      </c>
      <c r="G11" s="74">
        <v>45674</v>
      </c>
      <c r="H11" s="74">
        <v>45675</v>
      </c>
      <c r="J11" s="4"/>
    </row>
    <row r="12" spans="1:11" s="3" customFormat="1" ht="20.100000000000001" customHeight="1">
      <c r="A12" s="8"/>
      <c r="B12" s="68" t="s">
        <v>31</v>
      </c>
      <c r="C12" s="79" t="s">
        <v>41</v>
      </c>
      <c r="D12" s="68" t="s">
        <v>40</v>
      </c>
      <c r="E12" s="68" t="s">
        <v>23</v>
      </c>
      <c r="F12" s="68" t="s">
        <v>9</v>
      </c>
      <c r="G12" s="68" t="s">
        <v>12</v>
      </c>
      <c r="H12" s="68" t="s">
        <v>37</v>
      </c>
      <c r="J12" s="4"/>
    </row>
    <row r="13" spans="1:11" s="3" customFormat="1" ht="20.100000000000001" customHeight="1">
      <c r="A13" s="8"/>
      <c r="B13" s="68" t="s">
        <v>19</v>
      </c>
      <c r="C13" s="68" t="s">
        <v>47</v>
      </c>
      <c r="D13" s="3" t="s">
        <v>51</v>
      </c>
      <c r="E13" s="68" t="s">
        <v>25</v>
      </c>
      <c r="F13" s="68" t="s">
        <v>10</v>
      </c>
      <c r="G13" s="68" t="s">
        <v>57</v>
      </c>
      <c r="H13" s="68" t="s">
        <v>15</v>
      </c>
      <c r="J13" s="4"/>
    </row>
    <row r="14" spans="1:11" s="5" customFormat="1" ht="20.100000000000001" customHeight="1">
      <c r="A14" s="7"/>
      <c r="B14" s="69" t="s">
        <v>28</v>
      </c>
      <c r="C14" s="69" t="s">
        <v>44</v>
      </c>
      <c r="D14" s="69" t="s">
        <v>39</v>
      </c>
      <c r="E14" s="69" t="s">
        <v>5</v>
      </c>
      <c r="F14" s="69" t="s">
        <v>8</v>
      </c>
      <c r="G14" s="69" t="s">
        <v>58</v>
      </c>
      <c r="H14" s="69" t="s">
        <v>21</v>
      </c>
    </row>
    <row r="15" spans="1:11" s="3" customFormat="1" ht="20.100000000000001" customHeight="1">
      <c r="A15" s="7"/>
      <c r="B15" s="76">
        <f t="array" ref="B15:H15">DaysAndWeeks+DATE(CalendarYear,1,1)-WEEKDAY(DATE(CalendarYear,1,1),(InicioDeSemana="Lunes")+1)+22</f>
        <v>45676</v>
      </c>
      <c r="C15" s="76">
        <v>45677</v>
      </c>
      <c r="D15" s="76">
        <v>45678</v>
      </c>
      <c r="E15" s="76">
        <v>45679</v>
      </c>
      <c r="F15" s="76">
        <v>45680</v>
      </c>
      <c r="G15" s="76">
        <v>45681</v>
      </c>
      <c r="H15" s="76">
        <v>45682</v>
      </c>
    </row>
    <row r="16" spans="1:11" s="3" customFormat="1" ht="20.100000000000001" customHeight="1">
      <c r="A16" s="8"/>
      <c r="B16" s="82" t="s">
        <v>30</v>
      </c>
      <c r="C16" s="72" t="s">
        <v>42</v>
      </c>
      <c r="D16" s="72" t="s">
        <v>47</v>
      </c>
      <c r="E16" s="72" t="s">
        <v>43</v>
      </c>
      <c r="F16" s="72" t="s">
        <v>22</v>
      </c>
      <c r="G16" s="72" t="s">
        <v>33</v>
      </c>
      <c r="H16" s="72" t="s">
        <v>20</v>
      </c>
    </row>
    <row r="17" spans="1:8" s="3" customFormat="1" ht="20.100000000000001" customHeight="1">
      <c r="A17" s="8"/>
      <c r="B17" s="72" t="s">
        <v>59</v>
      </c>
      <c r="C17" s="72" t="s">
        <v>45</v>
      </c>
      <c r="D17" s="72" t="s">
        <v>48</v>
      </c>
      <c r="E17" s="3" t="s">
        <v>49</v>
      </c>
      <c r="F17" s="68" t="s">
        <v>52</v>
      </c>
      <c r="G17" s="72" t="s">
        <v>11</v>
      </c>
      <c r="H17" s="3" t="s">
        <v>56</v>
      </c>
    </row>
    <row r="18" spans="1:8" s="5" customFormat="1" ht="20.100000000000001" customHeight="1">
      <c r="A18" s="7"/>
      <c r="B18" s="5" t="s">
        <v>26</v>
      </c>
      <c r="C18" s="5" t="s">
        <v>51</v>
      </c>
      <c r="D18" s="86" t="s">
        <v>36</v>
      </c>
      <c r="E18" s="69" t="s">
        <v>50</v>
      </c>
      <c r="F18" s="73" t="s">
        <v>38</v>
      </c>
      <c r="G18" s="81" t="s">
        <v>8</v>
      </c>
      <c r="H18" s="72" t="s">
        <v>29</v>
      </c>
    </row>
    <row r="19" spans="1:8" s="3" customFormat="1" ht="20.100000000000001" customHeight="1">
      <c r="A19" s="7"/>
      <c r="B19" s="74">
        <f t="array" ref="B19:H19">DaysAndWeeks+DATE(CalendarYear,1,1)-WEEKDAY(DATE(CalendarYear,1,1),(InicioDeSemana="Lunes")+1)+29</f>
        <v>45683</v>
      </c>
      <c r="C19" s="74">
        <v>45684</v>
      </c>
      <c r="D19" s="74">
        <v>45685</v>
      </c>
      <c r="E19" s="74">
        <v>45686</v>
      </c>
      <c r="F19" s="74">
        <v>45687</v>
      </c>
      <c r="G19" s="74">
        <v>45688</v>
      </c>
      <c r="H19" s="74">
        <v>45689</v>
      </c>
    </row>
    <row r="20" spans="1:8" s="3" customFormat="1" ht="20.100000000000001" customHeight="1">
      <c r="A20" s="8"/>
      <c r="B20" s="84" t="s">
        <v>54</v>
      </c>
      <c r="C20" s="3" t="s">
        <v>50</v>
      </c>
      <c r="D20" s="68" t="s">
        <v>39</v>
      </c>
      <c r="E20" s="73" t="s">
        <v>55</v>
      </c>
      <c r="F20" s="69" t="s">
        <v>38</v>
      </c>
      <c r="G20" s="83" t="s">
        <v>25</v>
      </c>
      <c r="H20" s="68" t="s">
        <v>37</v>
      </c>
    </row>
    <row r="21" spans="1:8" s="3" customFormat="1" ht="20.100000000000001" customHeight="1">
      <c r="A21" s="8"/>
      <c r="B21" s="82" t="s">
        <v>31</v>
      </c>
      <c r="C21" s="68" t="s">
        <v>5</v>
      </c>
      <c r="D21" s="68" t="s">
        <v>35</v>
      </c>
      <c r="E21" s="3" t="s">
        <v>58</v>
      </c>
      <c r="F21" s="70" t="s">
        <v>46</v>
      </c>
      <c r="G21" s="68" t="s">
        <v>12</v>
      </c>
      <c r="H21" s="91" t="s">
        <v>60</v>
      </c>
    </row>
    <row r="22" spans="1:8" s="5" customFormat="1" ht="20.100000000000001" customHeight="1">
      <c r="A22" s="7"/>
      <c r="B22" s="5" t="s">
        <v>26</v>
      </c>
      <c r="C22" s="85" t="s">
        <v>42</v>
      </c>
      <c r="D22" s="69" t="s">
        <v>27</v>
      </c>
      <c r="E22" s="68" t="s">
        <v>23</v>
      </c>
      <c r="F22" s="5" t="s">
        <v>9</v>
      </c>
      <c r="G22" s="69" t="s">
        <v>11</v>
      </c>
      <c r="H22" s="69" t="s">
        <v>14</v>
      </c>
    </row>
    <row r="23" spans="1:8" s="3" customFormat="1" ht="20.100000000000001" customHeight="1">
      <c r="A23" s="7"/>
      <c r="B23" s="76">
        <f t="array" ref="B23:C23">DaysAndWeeks+DATE(CalendarYear,1,1)-WEEKDAY(DATE(CalendarYear,1,1),(InicioDeSemana="Lunes")+1)+36</f>
        <v>45690</v>
      </c>
      <c r="C23" s="76">
        <v>45691</v>
      </c>
      <c r="D23" s="77" t="s">
        <v>0</v>
      </c>
      <c r="E23" s="165"/>
      <c r="F23" s="165"/>
      <c r="G23" s="165"/>
      <c r="H23" s="166"/>
    </row>
    <row r="24" spans="1:8" s="3" customFormat="1" ht="20.100000000000001" customHeight="1">
      <c r="A24" s="8"/>
      <c r="B24" s="68" t="s">
        <v>54</v>
      </c>
      <c r="C24" s="73" t="s">
        <v>45</v>
      </c>
      <c r="D24" s="77"/>
      <c r="E24" s="165"/>
      <c r="F24" s="165"/>
      <c r="G24" s="165"/>
      <c r="H24" s="166"/>
    </row>
    <row r="25" spans="1:8" s="3" customFormat="1" ht="20.100000000000001" customHeight="1">
      <c r="A25" s="8"/>
      <c r="B25" s="3" t="s">
        <v>16</v>
      </c>
      <c r="C25" s="82" t="s">
        <v>17</v>
      </c>
      <c r="D25" s="77"/>
      <c r="E25" s="165"/>
      <c r="F25" s="165"/>
      <c r="G25" s="165"/>
      <c r="H25" s="166"/>
    </row>
    <row r="26" spans="1:8" s="5" customFormat="1" ht="20.100000000000001" customHeight="1">
      <c r="A26" s="7"/>
      <c r="B26" s="68" t="s">
        <v>28</v>
      </c>
      <c r="C26" s="73" t="s">
        <v>55</v>
      </c>
      <c r="D26" s="78"/>
      <c r="E26" s="167"/>
      <c r="F26" s="167"/>
      <c r="G26" s="167"/>
      <c r="H26" s="168"/>
    </row>
  </sheetData>
  <mergeCells count="2">
    <mergeCell ref="E23:H26"/>
    <mergeCell ref="J2:K2"/>
  </mergeCells>
  <phoneticPr fontId="2" type="noConversion"/>
  <conditionalFormatting sqref="B23:C23 B19:H19 D20 C8 B24 F17 E22 G20:G21 B26 C25 B21:C21">
    <cfRule type="expression" dxfId="40" priority="27">
      <formula>AND(DAY(B8)&gt;=1,DAY(B8)&lt;=15)</formula>
    </cfRule>
  </conditionalFormatting>
  <conditionalFormatting sqref="B3:G5">
    <cfRule type="expression" dxfId="39" priority="26">
      <formula>DAY(B3)&gt;8</formula>
    </cfRule>
  </conditionalFormatting>
  <conditionalFormatting sqref="D23:D25">
    <cfRule type="expression" dxfId="38" priority="3">
      <formula>AND(DAY(D23)&gt;=1,DAY(D23)&lt;=15)</formula>
    </cfRule>
  </conditionalFormatting>
  <conditionalFormatting sqref="C12">
    <cfRule type="expression" dxfId="37" priority="2">
      <formula>AND(DAY(C12)&gt;=1,DAY(C12)&lt;=15)</formula>
    </cfRule>
  </conditionalFormatting>
  <conditionalFormatting sqref="E12">
    <cfRule type="expression" dxfId="36" priority="1">
      <formula>AND(DAY(E12)&gt;=1,DAY(E12)&lt;=15)</formula>
    </cfRule>
  </conditionalFormatting>
  <dataValidations count="14">
    <dataValidation type="list" errorStyle="warning" allowBlank="1" showInputMessage="1" showErrorMessage="1" error="Seleccione un día de la lista. Seleccione Cancelar y, después, presione ALT + Flecha abajo para seleccionar el día de la lista desplegable" prompt="Escriba el día de inicio de la semana en esta celda. Presione ALT+FLECHA ABAJO para abrir la lista desplegable y luego, ENTRAR para seleccionar el día de inicio de la semana." sqref="K6">
      <formula1>"DOMINGO,LUNES"</formula1>
    </dataValidation>
    <dataValidation allowBlank="1" showInputMessage="1" showErrorMessage="1" prompt="Cree calendarios de un mes personalizados en este libro. Personalice el año y el día de inicio de la semana para todos los meses de esta hoja de cálculo de enero. Cada mes se encuentra en una hoja de cálculo independiente." sqref="A1"/>
    <dataValidation allowBlank="1" showInputMessage="1" showErrorMessage="1" prompt="Escriba el año y seleccione el día de inicio del calendario en las celdas siguientes. Estas celdas de configuración del calendario no se imprimirán." sqref="J2"/>
    <dataValidation allowBlank="1" showInputMessage="1" showErrorMessage="1" prompt="Escriba el año en la celda a la derecha" sqref="J3:J5"/>
    <dataValidation allowBlank="1" showInputMessage="1" showErrorMessage="1" prompt="Seleccione el día de inicio de la semana en la celda a la derecha." sqref="J6"/>
    <dataValidation allowBlank="1" showInputMessage="1" showErrorMessage="1" prompt="Escriba el año en esta celda" sqref="K3:K5"/>
    <dataValidation allowBlank="1" showInputMessage="1" showErrorMessage="1" prompt="Esta fila contiene los nombres de los días laborables de este calendario. Esta celda contiene el día de inicio de la semana. Para cambiar el día de inicio, escriba un nuevo día laborable en la celda K4." sqref="B2"/>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ErrorMessage="1" prompt="El año de esta celda se actualiza automáticamente según el año especificado en la celda K2. El calendario siguiente incluye fechas de los meses anterior y posterior con un sombreado de fuente más claro." sqref="B1"/>
    <dataValidation allowBlank="1" showInputMessage="1" showErrorMessage="1" prompt="El día de la semana se determinará automáticamente" sqref="C2:H2"/>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scriba notas en esta celda." sqref="E23:H26"/>
    <dataValidation allowBlank="1" showInputMessage="1" showErrorMessage="1" prompt="Escriba notas en la celda a la derecha." sqref="D23:D26"/>
    <dataValidation allowBlank="1" showInputMessage="1" showErrorMessage="1" prompt="El año en esta celda se actualiza automáticamente. Seleccione otro año en la celda K3 para cambiar el año" sqref="C1"/>
  </dataValidations>
  <printOptions horizontalCentered="1" verticalCentered="1"/>
  <pageMargins left="0.7" right="0.7" top="0.75" bottom="0.75" header="0.3" footer="0.3"/>
  <pageSetup paperSize="9" orientation="landscape" r:id="rId1"/>
  <headerFooter differentFirst="1" alignWithMargins="0">
    <oddFooter>Page &amp;P of &amp;N</oddFooter>
  </headerFooter>
  <customProperties>
    <customPr name="SheetChanged" r:id="rId2"/>
  </customPropertie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6" tint="0.39997558519241921"/>
    <pageSetUpPr fitToPage="1"/>
  </sheetPr>
  <dimension ref="A1:H26"/>
  <sheetViews>
    <sheetView showGridLines="0" topLeftCell="D2" zoomScale="60" zoomScaleNormal="60" workbookViewId="0">
      <selection activeCell="G12" sqref="G12"/>
    </sheetView>
  </sheetViews>
  <sheetFormatPr baseColWidth="10" defaultColWidth="8.88671875" defaultRowHeight="14.25"/>
  <cols>
    <col min="1" max="1" width="2.77734375" style="7" customWidth="1"/>
    <col min="2" max="8" width="40.77734375" customWidth="1"/>
    <col min="9" max="9" width="2.77734375" customWidth="1"/>
    <col min="10" max="10" width="10.6640625" customWidth="1"/>
  </cols>
  <sheetData>
    <row r="1" spans="1:8" s="1" customFormat="1" ht="59.25" customHeight="1">
      <c r="A1" s="7"/>
      <c r="B1" s="25" t="str">
        <f>"Febrero "&amp;CalendarYear</f>
        <v>Febrero 2025</v>
      </c>
      <c r="C1" s="26"/>
      <c r="D1" s="26"/>
      <c r="E1" s="27"/>
      <c r="F1" s="27"/>
      <c r="G1" s="27"/>
      <c r="H1" s="28"/>
    </row>
    <row r="2" spans="1:8" s="2" customFormat="1" ht="21.75" customHeight="1">
      <c r="A2" s="7"/>
      <c r="B2" s="88" t="str">
        <f>IF(InicioDeSemana="DOMINGO", "DOMINGO","LUNES")</f>
        <v>DOMINGO</v>
      </c>
      <c r="C2" s="88" t="str">
        <f t="shared" ref="C2:H2" si="0">UPPER(TEXT(C3,"dddd"))</f>
        <v>LUNES</v>
      </c>
      <c r="D2" s="88" t="str">
        <f t="shared" si="0"/>
        <v>MARTES</v>
      </c>
      <c r="E2" s="88" t="str">
        <f t="shared" si="0"/>
        <v>MIÉRCOLES</v>
      </c>
      <c r="F2" s="88" t="str">
        <f t="shared" si="0"/>
        <v>JUEVES</v>
      </c>
      <c r="G2" s="88" t="str">
        <f t="shared" si="0"/>
        <v>VIERNES</v>
      </c>
      <c r="H2" s="88" t="str">
        <f t="shared" si="0"/>
        <v>SÁBADO</v>
      </c>
    </row>
    <row r="3" spans="1:8" s="3" customFormat="1" ht="20.100000000000001" customHeight="1">
      <c r="A3" s="7"/>
      <c r="B3" s="64">
        <f t="array" ref="B3:H3">DaysAndWeeks+DATE(CalendarYear,2,1)-WEEKDAY(DATE(CalendarYear,2,1),(InicioDeSemana="Lunes")+1)+1</f>
        <v>45683</v>
      </c>
      <c r="C3" s="64">
        <v>45684</v>
      </c>
      <c r="D3" s="64">
        <v>45685</v>
      </c>
      <c r="E3" s="64">
        <v>45686</v>
      </c>
      <c r="F3" s="64">
        <v>45687</v>
      </c>
      <c r="G3" s="64">
        <v>45688</v>
      </c>
      <c r="H3" s="64">
        <v>45689</v>
      </c>
    </row>
    <row r="4" spans="1:8" s="3" customFormat="1" ht="20.100000000000001" customHeight="1">
      <c r="A4" s="8"/>
      <c r="B4" s="68"/>
      <c r="C4" s="68"/>
      <c r="D4" s="68"/>
      <c r="E4" s="68"/>
      <c r="F4" s="68"/>
      <c r="G4" s="68"/>
      <c r="H4" s="68" t="s">
        <v>37</v>
      </c>
    </row>
    <row r="5" spans="1:8" s="3" customFormat="1" ht="20.100000000000001" customHeight="1">
      <c r="A5" s="8"/>
      <c r="B5" s="68"/>
      <c r="C5" s="68"/>
      <c r="D5" s="68"/>
      <c r="E5" s="68"/>
      <c r="F5" s="68"/>
      <c r="G5" s="68"/>
      <c r="H5" s="68" t="s">
        <v>60</v>
      </c>
    </row>
    <row r="6" spans="1:8" ht="20.100000000000001" customHeight="1">
      <c r="B6" s="69"/>
      <c r="C6" s="69"/>
      <c r="D6" s="69"/>
      <c r="E6" s="69"/>
      <c r="F6" s="69"/>
      <c r="G6" s="69"/>
      <c r="H6" s="69" t="s">
        <v>14</v>
      </c>
    </row>
    <row r="7" spans="1:8" s="3" customFormat="1" ht="20.100000000000001" customHeight="1">
      <c r="A7" s="7"/>
      <c r="B7" s="89">
        <f t="array" ref="B7:H7">DaysAndWeeks+DATE(CalendarYear,2,1)-WEEKDAY(DATE(CalendarYear,2,1),(InicioDeSemana="Lunes")+1)+8</f>
        <v>45690</v>
      </c>
      <c r="C7" s="89">
        <v>45691</v>
      </c>
      <c r="D7" s="89">
        <v>45692</v>
      </c>
      <c r="E7" s="89">
        <v>45693</v>
      </c>
      <c r="F7" s="89">
        <v>45694</v>
      </c>
      <c r="G7" s="89">
        <v>45695</v>
      </c>
      <c r="H7" s="89">
        <v>45696</v>
      </c>
    </row>
    <row r="8" spans="1:8" s="3" customFormat="1" ht="20.100000000000001" customHeight="1">
      <c r="A8" s="8"/>
      <c r="B8" s="3" t="s">
        <v>54</v>
      </c>
      <c r="C8" s="72" t="s">
        <v>45</v>
      </c>
      <c r="D8" s="72" t="s">
        <v>23</v>
      </c>
      <c r="E8" s="72" t="s">
        <v>43</v>
      </c>
      <c r="F8" s="72" t="s">
        <v>10</v>
      </c>
      <c r="G8" s="96" t="s">
        <v>24</v>
      </c>
      <c r="H8" s="92" t="s">
        <v>31</v>
      </c>
    </row>
    <row r="9" spans="1:8" s="3" customFormat="1" ht="20.100000000000001" customHeight="1">
      <c r="A9" s="8"/>
      <c r="B9" s="72" t="s">
        <v>16</v>
      </c>
      <c r="C9" s="72" t="s">
        <v>17</v>
      </c>
      <c r="D9" s="72" t="s">
        <v>34</v>
      </c>
      <c r="E9" s="72" t="s">
        <v>49</v>
      </c>
      <c r="F9" s="72" t="s">
        <v>46</v>
      </c>
      <c r="G9" s="72" t="s">
        <v>48</v>
      </c>
      <c r="H9" s="72" t="s">
        <v>6</v>
      </c>
    </row>
    <row r="10" spans="1:8" ht="20.100000000000001" customHeight="1">
      <c r="B10" s="73" t="s">
        <v>28</v>
      </c>
      <c r="C10" s="73" t="s">
        <v>55</v>
      </c>
      <c r="D10" s="73" t="s">
        <v>47</v>
      </c>
      <c r="E10" s="73" t="s">
        <v>27</v>
      </c>
      <c r="F10" s="73" t="s">
        <v>5</v>
      </c>
      <c r="G10" s="73" t="s">
        <v>12</v>
      </c>
      <c r="H10" s="73" t="s">
        <v>32</v>
      </c>
    </row>
    <row r="11" spans="1:8" s="3" customFormat="1" ht="20.100000000000001" customHeight="1">
      <c r="A11" s="7"/>
      <c r="B11" s="90">
        <f t="array" ref="B11:H11">DaysAndWeeks+DATE(CalendarYear,2,1)-WEEKDAY(DATE(CalendarYear,2,1),(InicioDeSemana="Lunes")+1)+15</f>
        <v>45697</v>
      </c>
      <c r="C11" s="90">
        <v>45698</v>
      </c>
      <c r="D11" s="90">
        <v>45699</v>
      </c>
      <c r="E11" s="90">
        <v>45700</v>
      </c>
      <c r="F11" s="90">
        <v>45701</v>
      </c>
      <c r="G11" s="90">
        <v>45702</v>
      </c>
      <c r="H11" s="90">
        <v>45703</v>
      </c>
    </row>
    <row r="12" spans="1:8" s="3" customFormat="1" ht="20.100000000000001" customHeight="1">
      <c r="A12" s="8"/>
      <c r="B12" s="68" t="s">
        <v>30</v>
      </c>
      <c r="C12" s="68" t="s">
        <v>44</v>
      </c>
      <c r="D12" s="68" t="s">
        <v>39</v>
      </c>
      <c r="E12" s="68" t="s">
        <v>40</v>
      </c>
      <c r="F12" s="68" t="s">
        <v>53</v>
      </c>
      <c r="G12" s="72" t="s">
        <v>11</v>
      </c>
      <c r="H12" s="68" t="s">
        <v>14</v>
      </c>
    </row>
    <row r="13" spans="1:8" s="3" customFormat="1" ht="20.100000000000001" customHeight="1">
      <c r="A13" s="8"/>
      <c r="B13" s="68" t="s">
        <v>59</v>
      </c>
      <c r="C13" s="68" t="s">
        <v>42</v>
      </c>
      <c r="D13" s="68" t="s">
        <v>35</v>
      </c>
      <c r="E13" s="3" t="s">
        <v>58</v>
      </c>
      <c r="F13" s="68" t="s">
        <v>51</v>
      </c>
      <c r="G13" s="68" t="s">
        <v>57</v>
      </c>
      <c r="H13" s="68" t="s">
        <v>32</v>
      </c>
    </row>
    <row r="14" spans="1:8" ht="20.100000000000001" customHeight="1">
      <c r="B14" s="69" t="s">
        <v>63</v>
      </c>
      <c r="C14" s="69" t="s">
        <v>50</v>
      </c>
      <c r="D14" s="3" t="s">
        <v>56</v>
      </c>
      <c r="E14" s="79" t="s">
        <v>64</v>
      </c>
      <c r="F14" s="69" t="s">
        <v>38</v>
      </c>
      <c r="G14" s="69" t="s">
        <v>48</v>
      </c>
      <c r="H14" s="69" t="s">
        <v>6</v>
      </c>
    </row>
    <row r="15" spans="1:8" s="3" customFormat="1" ht="20.100000000000001" customHeight="1">
      <c r="A15" s="7"/>
      <c r="B15" s="89">
        <f t="array" ref="B15:H15">DaysAndWeeks+DATE(CalendarYear,2,1)-WEEKDAY(DATE(CalendarYear,2,1),(InicioDeSemana="Lunes")+1)+22</f>
        <v>45704</v>
      </c>
      <c r="C15" s="89">
        <v>45705</v>
      </c>
      <c r="D15" s="89">
        <v>45706</v>
      </c>
      <c r="E15" s="89">
        <v>45707</v>
      </c>
      <c r="F15" s="89">
        <v>45708</v>
      </c>
      <c r="G15" s="89">
        <v>45709</v>
      </c>
      <c r="H15" s="89">
        <v>45710</v>
      </c>
    </row>
    <row r="16" spans="1:8" s="3" customFormat="1" ht="20.100000000000001" customHeight="1">
      <c r="A16" s="8"/>
      <c r="B16" s="3" t="s">
        <v>31</v>
      </c>
      <c r="C16" s="72" t="s">
        <v>46</v>
      </c>
      <c r="D16" s="68" t="s">
        <v>23</v>
      </c>
      <c r="E16" s="72" t="s">
        <v>49</v>
      </c>
      <c r="F16" s="68" t="s">
        <v>38</v>
      </c>
      <c r="G16" s="82" t="s">
        <v>20</v>
      </c>
      <c r="H16" s="72" t="s">
        <v>55</v>
      </c>
    </row>
    <row r="17" spans="1:8" s="3" customFormat="1" ht="20.100000000000001" customHeight="1">
      <c r="A17" s="8"/>
      <c r="B17" s="94" t="s">
        <v>65</v>
      </c>
      <c r="C17" s="72" t="s">
        <v>64</v>
      </c>
      <c r="D17" s="72" t="s">
        <v>48</v>
      </c>
      <c r="E17" s="72" t="s">
        <v>5</v>
      </c>
      <c r="F17" s="72" t="s">
        <v>25</v>
      </c>
      <c r="G17" s="91" t="s">
        <v>66</v>
      </c>
      <c r="H17" s="72" t="s">
        <v>21</v>
      </c>
    </row>
    <row r="18" spans="1:8" ht="20.100000000000001" customHeight="1">
      <c r="B18" s="73" t="s">
        <v>59</v>
      </c>
      <c r="C18" s="81" t="s">
        <v>42</v>
      </c>
      <c r="D18" s="73" t="s">
        <v>51</v>
      </c>
      <c r="E18" t="s">
        <v>44</v>
      </c>
      <c r="F18" s="95" t="s">
        <v>9</v>
      </c>
      <c r="G18" s="97" t="s">
        <v>8</v>
      </c>
      <c r="H18" s="73" t="s">
        <v>62</v>
      </c>
    </row>
    <row r="19" spans="1:8" s="3" customFormat="1" ht="20.100000000000001" customHeight="1">
      <c r="A19" s="7"/>
      <c r="B19" s="90">
        <f t="array" ref="B19:H19">DaysAndWeeks+DATE(CalendarYear,2,1)-WEEKDAY(DATE(CalendarYear,2,1),(InicioDeSemana="Lunes")+1)+29</f>
        <v>45711</v>
      </c>
      <c r="C19" s="90">
        <v>45712</v>
      </c>
      <c r="D19" s="90">
        <v>45713</v>
      </c>
      <c r="E19" s="90">
        <v>45714</v>
      </c>
      <c r="F19" s="90">
        <v>45715</v>
      </c>
      <c r="G19" s="90">
        <v>45716</v>
      </c>
      <c r="H19" s="90">
        <v>45717</v>
      </c>
    </row>
    <row r="20" spans="1:8" s="3" customFormat="1" ht="20.100000000000001" customHeight="1">
      <c r="A20" s="8"/>
      <c r="B20" s="72" t="s">
        <v>28</v>
      </c>
      <c r="C20" s="68" t="s">
        <v>45</v>
      </c>
      <c r="D20" s="91" t="s">
        <v>39</v>
      </c>
      <c r="E20" s="68" t="s">
        <v>22</v>
      </c>
      <c r="F20" s="98" t="s">
        <v>67</v>
      </c>
      <c r="G20" s="68" t="s">
        <v>61</v>
      </c>
      <c r="H20" s="68" t="s">
        <v>43</v>
      </c>
    </row>
    <row r="21" spans="1:8" s="3" customFormat="1" ht="20.100000000000001" customHeight="1">
      <c r="A21" s="8"/>
      <c r="B21" s="68" t="s">
        <v>30</v>
      </c>
      <c r="C21" s="79" t="s">
        <v>9</v>
      </c>
      <c r="D21" s="93" t="s">
        <v>17</v>
      </c>
      <c r="E21" s="68" t="s">
        <v>50</v>
      </c>
      <c r="F21" s="68" t="s">
        <v>58</v>
      </c>
      <c r="G21" s="68" t="s">
        <v>12</v>
      </c>
      <c r="H21" s="107" t="s">
        <v>37</v>
      </c>
    </row>
    <row r="22" spans="1:8" ht="20.100000000000001" customHeight="1">
      <c r="B22" s="69" t="s">
        <v>60</v>
      </c>
      <c r="C22" s="69" t="s">
        <v>56</v>
      </c>
      <c r="D22" s="97" t="s">
        <v>63</v>
      </c>
      <c r="E22" s="97" t="s">
        <v>44</v>
      </c>
      <c r="F22" s="69" t="s">
        <v>10</v>
      </c>
      <c r="G22" t="s">
        <v>31</v>
      </c>
      <c r="H22" s="69" t="s">
        <v>14</v>
      </c>
    </row>
    <row r="23" spans="1:8" s="3" customFormat="1" ht="19.5" customHeight="1">
      <c r="A23" s="7"/>
      <c r="B23" s="89">
        <f t="array" ref="B23:C23">DaysAndWeeks+DATE(CalendarYear,2,1)-WEEKDAY(DATE(CalendarYear,2,1),(InicioDeSemana="Lunes")+1)+36</f>
        <v>45718</v>
      </c>
      <c r="C23" s="89">
        <v>45719</v>
      </c>
      <c r="D23" s="87" t="s">
        <v>0</v>
      </c>
      <c r="E23" s="165"/>
      <c r="F23" s="165"/>
      <c r="G23" s="165"/>
      <c r="H23" s="166"/>
    </row>
    <row r="24" spans="1:8" s="3" customFormat="1" ht="19.5" customHeight="1">
      <c r="A24" s="8"/>
      <c r="B24" s="82" t="s">
        <v>60</v>
      </c>
      <c r="C24" s="72"/>
      <c r="D24" s="77"/>
      <c r="E24" s="165"/>
      <c r="F24" s="165"/>
      <c r="G24" s="165"/>
      <c r="H24" s="166"/>
    </row>
    <row r="25" spans="1:8" s="3" customFormat="1" ht="19.5" customHeight="1">
      <c r="A25" s="8"/>
      <c r="B25" s="82" t="s">
        <v>16</v>
      </c>
      <c r="C25" s="72"/>
      <c r="D25" s="77"/>
      <c r="E25" s="165"/>
      <c r="F25" s="165"/>
      <c r="G25" s="165"/>
      <c r="H25" s="166"/>
    </row>
    <row r="26" spans="1:8" ht="57.95" customHeight="1">
      <c r="B26" s="73" t="s">
        <v>19</v>
      </c>
      <c r="C26" s="73"/>
      <c r="D26" s="78"/>
      <c r="E26" s="167"/>
      <c r="F26" s="167"/>
      <c r="G26" s="167"/>
      <c r="H26" s="168"/>
    </row>
  </sheetData>
  <mergeCells count="1">
    <mergeCell ref="E23:H26"/>
  </mergeCells>
  <conditionalFormatting sqref="B23:C25 B19:H19 C20 E12 G20:H20 F16 E20 B21:C21 E21:H21 D16">
    <cfRule type="expression" dxfId="35" priority="4">
      <formula>AND(DAY(B12)&gt;=1,DAY(B12)&lt;=15)</formula>
    </cfRule>
  </conditionalFormatting>
  <conditionalFormatting sqref="B3:G5">
    <cfRule type="expression" dxfId="34" priority="3">
      <formula>DAY(B3)&gt;8</formula>
    </cfRule>
  </conditionalFormatting>
  <conditionalFormatting sqref="D23:D25">
    <cfRule type="expression" dxfId="33"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febrero" sqref="A1"/>
    <dataValidation allowBlank="1" showInputMessage="1" showErrorMessage="1" prompt="Escriba notas en la celda a la derecha." sqref="D23:D26"/>
    <dataValidation allowBlank="1" showInputMessage="1" showErrorMessage="1" prompt="Escriba notas en esta celda." sqref="E23:H26"/>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4" tint="0.39997558519241921"/>
    <pageSetUpPr fitToPage="1"/>
  </sheetPr>
  <dimension ref="A1:H35"/>
  <sheetViews>
    <sheetView showGridLines="0" zoomScale="50" zoomScaleNormal="50" workbookViewId="0">
      <selection activeCell="F29" sqref="F29"/>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31" t="str">
        <f>"Marzo "&amp;CalendarYear</f>
        <v>Marzo 2025</v>
      </c>
      <c r="C1" s="32"/>
      <c r="D1" s="32"/>
      <c r="E1" s="33"/>
      <c r="F1" s="33"/>
      <c r="G1" s="33"/>
      <c r="H1" s="34"/>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03">
        <f t="array" ref="B3:H3">DaysAndWeeks+DATE(CalendarYear,3,1)-WEEKDAY(DATE(CalendarYear,3,1),(InicioDeSemana="Lunes")+1)+1</f>
        <v>45711</v>
      </c>
      <c r="C3" s="103">
        <v>45712</v>
      </c>
      <c r="D3" s="103">
        <v>45713</v>
      </c>
      <c r="E3" s="103">
        <v>45714</v>
      </c>
      <c r="F3" s="103">
        <v>45715</v>
      </c>
      <c r="G3" s="103">
        <v>45716</v>
      </c>
      <c r="H3" s="106">
        <v>45717</v>
      </c>
    </row>
    <row r="4" spans="1:8" s="8" customFormat="1" ht="20.100000000000001" customHeight="1">
      <c r="B4" s="68"/>
      <c r="C4" s="68"/>
      <c r="D4" s="68"/>
      <c r="E4" s="68"/>
      <c r="F4" s="68"/>
      <c r="G4" s="68"/>
      <c r="H4" s="68"/>
    </row>
    <row r="5" spans="1:8" s="8" customFormat="1" ht="20.100000000000001" customHeight="1">
      <c r="B5" s="68"/>
      <c r="C5" s="68"/>
      <c r="D5" s="68"/>
      <c r="E5" s="68"/>
      <c r="F5" s="68"/>
      <c r="G5" s="68"/>
      <c r="H5" s="68" t="s">
        <v>37</v>
      </c>
    </row>
    <row r="6" spans="1:8" ht="20.100000000000001" customHeight="1">
      <c r="A6" s="8"/>
      <c r="B6" s="100"/>
      <c r="C6" s="100"/>
      <c r="D6" s="100"/>
      <c r="E6" s="100"/>
      <c r="F6" s="100"/>
      <c r="G6" s="100"/>
      <c r="H6" s="101" t="s">
        <v>14</v>
      </c>
    </row>
    <row r="7" spans="1:8" s="104" customFormat="1" ht="20.100000000000001" customHeight="1">
      <c r="B7" s="105">
        <f t="array" ref="B7:H7">DaysAndWeeks+DATE(CalendarYear,3,1)-WEEKDAY(DATE(CalendarYear,3,1),(InicioDeSemana="Lunes")+1)+8</f>
        <v>45718</v>
      </c>
      <c r="C7" s="105">
        <v>45719</v>
      </c>
      <c r="D7" s="105">
        <v>45720</v>
      </c>
      <c r="E7" s="105">
        <v>45721</v>
      </c>
      <c r="F7" s="105">
        <v>45722</v>
      </c>
      <c r="G7" s="105">
        <v>45723</v>
      </c>
      <c r="H7" s="105">
        <v>45724</v>
      </c>
    </row>
    <row r="8" spans="1:8" s="8" customFormat="1" ht="20.100000000000001" customHeight="1">
      <c r="B8" s="72" t="s">
        <v>60</v>
      </c>
      <c r="C8" s="72" t="s">
        <v>46</v>
      </c>
      <c r="D8" s="72" t="s">
        <v>25</v>
      </c>
      <c r="E8" s="72" t="s">
        <v>40</v>
      </c>
      <c r="F8" s="72" t="s">
        <v>53</v>
      </c>
      <c r="G8" s="82" t="s">
        <v>24</v>
      </c>
      <c r="H8" s="72" t="s">
        <v>65</v>
      </c>
    </row>
    <row r="9" spans="1:8" s="8" customFormat="1" ht="20.100000000000001" customHeight="1">
      <c r="B9" s="72" t="s">
        <v>16</v>
      </c>
      <c r="C9" s="92" t="s">
        <v>42</v>
      </c>
      <c r="D9" s="108" t="s">
        <v>34</v>
      </c>
      <c r="E9" s="68" t="s">
        <v>69</v>
      </c>
      <c r="F9" s="68" t="s">
        <v>5</v>
      </c>
      <c r="G9" s="101" t="s">
        <v>9</v>
      </c>
      <c r="H9" s="72" t="s">
        <v>21</v>
      </c>
    </row>
    <row r="10" spans="1:8" ht="20.100000000000001" customHeight="1">
      <c r="A10" s="8"/>
      <c r="B10" s="102" t="s">
        <v>19</v>
      </c>
      <c r="C10" s="110" t="s">
        <v>45</v>
      </c>
      <c r="D10" s="102" t="s">
        <v>27</v>
      </c>
      <c r="E10" s="72" t="s">
        <v>68</v>
      </c>
      <c r="F10" s="102" t="s">
        <v>17</v>
      </c>
      <c r="G10" s="102" t="s">
        <v>57</v>
      </c>
      <c r="H10" s="102" t="s">
        <v>54</v>
      </c>
    </row>
    <row r="11" spans="1:8" ht="20.100000000000001" customHeight="1">
      <c r="A11" s="8"/>
      <c r="B11" s="106">
        <f t="array" ref="B11:H11">DaysAndWeeks+DATE(CalendarYear,3,1)-WEEKDAY(DATE(CalendarYear,3,1),(InicioDeSemana="Lunes")+1)+15</f>
        <v>45725</v>
      </c>
      <c r="C11" s="106">
        <v>45726</v>
      </c>
      <c r="D11" s="106">
        <v>45727</v>
      </c>
      <c r="E11" s="106">
        <v>45728</v>
      </c>
      <c r="F11" s="106">
        <v>45729</v>
      </c>
      <c r="G11" s="106">
        <v>45730</v>
      </c>
      <c r="H11" s="106">
        <v>45731</v>
      </c>
    </row>
    <row r="12" spans="1:8" s="8" customFormat="1" ht="20.100000000000001" customHeight="1">
      <c r="B12" s="68" t="s">
        <v>30</v>
      </c>
      <c r="C12" s="68" t="s">
        <v>45</v>
      </c>
      <c r="D12" s="83" t="s">
        <v>23</v>
      </c>
      <c r="E12" s="68" t="s">
        <v>43</v>
      </c>
      <c r="F12" s="68" t="s">
        <v>10</v>
      </c>
      <c r="G12" s="68" t="s">
        <v>8</v>
      </c>
      <c r="H12" s="68" t="s">
        <v>70</v>
      </c>
    </row>
    <row r="13" spans="1:8" s="8" customFormat="1" ht="20.100000000000001" customHeight="1">
      <c r="B13" s="68" t="s">
        <v>19</v>
      </c>
      <c r="C13" s="68" t="s">
        <v>47</v>
      </c>
      <c r="D13" s="114" t="s">
        <v>35</v>
      </c>
      <c r="E13" s="101" t="s">
        <v>71</v>
      </c>
      <c r="F13" s="8" t="s">
        <v>67</v>
      </c>
      <c r="G13" s="68" t="s">
        <v>12</v>
      </c>
      <c r="H13" s="68" t="s">
        <v>73</v>
      </c>
    </row>
    <row r="14" spans="1:8" ht="20.100000000000001" customHeight="1">
      <c r="A14" s="8"/>
      <c r="B14" s="101" t="s">
        <v>58</v>
      </c>
      <c r="C14" s="101" t="s">
        <v>44</v>
      </c>
      <c r="D14" s="114" t="s">
        <v>48</v>
      </c>
      <c r="E14" s="112" t="s">
        <v>75</v>
      </c>
      <c r="F14" s="101" t="s">
        <v>38</v>
      </c>
      <c r="G14" s="97" t="s">
        <v>5</v>
      </c>
      <c r="H14" s="101" t="s">
        <v>31</v>
      </c>
    </row>
    <row r="15" spans="1:8" ht="20.100000000000001" customHeight="1">
      <c r="A15" s="8"/>
      <c r="B15" s="105">
        <f t="array" ref="B15:H15">DaysAndWeeks+DATE(CalendarYear,3,1)-WEEKDAY(DATE(CalendarYear,3,1),(InicioDeSemana="Lunes")+1)+22</f>
        <v>45732</v>
      </c>
      <c r="C15" s="105">
        <v>45733</v>
      </c>
      <c r="D15" s="105">
        <v>45734</v>
      </c>
      <c r="E15" s="105">
        <v>45735</v>
      </c>
      <c r="F15" s="105">
        <v>45736</v>
      </c>
      <c r="G15" s="105">
        <v>45737</v>
      </c>
      <c r="H15" s="105">
        <v>45738</v>
      </c>
    </row>
    <row r="16" spans="1:8" s="8" customFormat="1" ht="20.100000000000001" customHeight="1">
      <c r="B16" s="72" t="s">
        <v>28</v>
      </c>
      <c r="C16" s="72" t="s">
        <v>55</v>
      </c>
      <c r="D16" s="72" t="s">
        <v>47</v>
      </c>
      <c r="E16" s="108" t="s">
        <v>69</v>
      </c>
      <c r="F16" s="72" t="s">
        <v>38</v>
      </c>
      <c r="G16" s="72" t="s">
        <v>57</v>
      </c>
      <c r="H16" s="72" t="s">
        <v>31</v>
      </c>
    </row>
    <row r="17" spans="1:8" s="8" customFormat="1" ht="20.100000000000001" customHeight="1">
      <c r="B17" s="72" t="s">
        <v>66</v>
      </c>
      <c r="C17" s="72" t="s">
        <v>50</v>
      </c>
      <c r="D17" s="72" t="s">
        <v>45</v>
      </c>
      <c r="E17" s="111" t="s">
        <v>23</v>
      </c>
      <c r="F17" s="72" t="s">
        <v>25</v>
      </c>
      <c r="G17" s="72" t="s">
        <v>11</v>
      </c>
      <c r="H17" s="72" t="s">
        <v>32</v>
      </c>
    </row>
    <row r="18" spans="1:8" ht="20.100000000000001" customHeight="1">
      <c r="A18" s="8"/>
      <c r="B18" s="73" t="s">
        <v>19</v>
      </c>
      <c r="C18" s="73" t="s">
        <v>9</v>
      </c>
      <c r="D18" s="73" t="s">
        <v>39</v>
      </c>
      <c r="E18" s="73" t="s">
        <v>71</v>
      </c>
      <c r="F18" s="73" t="s">
        <v>10</v>
      </c>
      <c r="G18" s="73" t="s">
        <v>12</v>
      </c>
      <c r="H18" s="73" t="s">
        <v>21</v>
      </c>
    </row>
    <row r="19" spans="1:8" ht="20.100000000000001" customHeight="1">
      <c r="A19" s="8"/>
      <c r="B19" s="106">
        <f t="array" ref="B19:H19">DaysAndWeeks+DATE(CalendarYear,3,1)-WEEKDAY(DATE(CalendarYear,3,1),(InicioDeSemana="Lunes")+1)+29</f>
        <v>45739</v>
      </c>
      <c r="C19" s="106">
        <v>45740</v>
      </c>
      <c r="D19" s="106">
        <v>45741</v>
      </c>
      <c r="E19" s="106">
        <v>45742</v>
      </c>
      <c r="F19" s="106">
        <v>45743</v>
      </c>
      <c r="G19" s="106">
        <v>45744</v>
      </c>
      <c r="H19" s="106">
        <v>45745</v>
      </c>
    </row>
    <row r="20" spans="1:8" s="8" customFormat="1" ht="20.100000000000001" customHeight="1">
      <c r="B20" s="68" t="s">
        <v>54</v>
      </c>
      <c r="C20" s="68" t="s">
        <v>44</v>
      </c>
      <c r="D20" s="73" t="s">
        <v>39</v>
      </c>
      <c r="E20" s="68" t="s">
        <v>50</v>
      </c>
      <c r="F20" s="83" t="s">
        <v>22</v>
      </c>
      <c r="G20" s="68" t="s">
        <v>61</v>
      </c>
      <c r="H20" s="68" t="s">
        <v>65</v>
      </c>
    </row>
    <row r="21" spans="1:8" s="8" customFormat="1" ht="20.100000000000001" customHeight="1">
      <c r="B21" s="68" t="s">
        <v>59</v>
      </c>
      <c r="C21" s="68" t="s">
        <v>70</v>
      </c>
      <c r="D21" s="68" t="s">
        <v>57</v>
      </c>
      <c r="E21" s="68" t="s">
        <v>5</v>
      </c>
      <c r="F21" s="68" t="s">
        <v>76</v>
      </c>
      <c r="G21" s="68" t="s">
        <v>25</v>
      </c>
      <c r="H21" s="101" t="s">
        <v>72</v>
      </c>
    </row>
    <row r="22" spans="1:8" ht="20.100000000000001" customHeight="1">
      <c r="A22" s="8"/>
      <c r="B22" s="101" t="s">
        <v>56</v>
      </c>
      <c r="C22" s="101" t="s">
        <v>46</v>
      </c>
      <c r="D22" s="109" t="s">
        <v>84</v>
      </c>
      <c r="E22" s="115" t="s">
        <v>30</v>
      </c>
      <c r="F22" s="109" t="s">
        <v>8</v>
      </c>
      <c r="G22" t="s">
        <v>31</v>
      </c>
      <c r="H22" s="114" t="s">
        <v>66</v>
      </c>
    </row>
    <row r="23" spans="1:8" ht="20.100000000000001" customHeight="1">
      <c r="A23" s="8"/>
      <c r="B23" s="105">
        <f t="array" ref="B23:C23">DaysAndWeeks+DATE(CalendarYear,3,1)-WEEKDAY(DATE(CalendarYear,3,1),(InicioDeSemana="Lunes")+1)+36</f>
        <v>45746</v>
      </c>
      <c r="C23" s="105">
        <v>45747</v>
      </c>
      <c r="D23" s="77" t="s">
        <v>0</v>
      </c>
      <c r="E23" s="165"/>
      <c r="F23" s="165"/>
      <c r="G23" s="165"/>
      <c r="H23" s="166"/>
    </row>
    <row r="24" spans="1:8" s="8" customFormat="1" ht="20.100000000000001" customHeight="1">
      <c r="B24" s="72" t="s">
        <v>17</v>
      </c>
      <c r="C24" s="72" t="s">
        <v>42</v>
      </c>
      <c r="D24" s="77"/>
      <c r="E24" s="165"/>
      <c r="F24" s="165"/>
      <c r="G24" s="165"/>
      <c r="H24" s="166"/>
    </row>
    <row r="25" spans="1:8" s="8" customFormat="1" ht="20.100000000000001" customHeight="1">
      <c r="B25" s="94" t="s">
        <v>75</v>
      </c>
      <c r="C25" s="115" t="s">
        <v>60</v>
      </c>
      <c r="D25" s="77"/>
      <c r="E25" s="165"/>
      <c r="F25" s="165"/>
      <c r="G25" s="165"/>
      <c r="H25" s="166"/>
    </row>
    <row r="26" spans="1:8" ht="20.100000000000001" customHeight="1">
      <c r="A26" s="8"/>
      <c r="B26" s="113" t="s">
        <v>58</v>
      </c>
      <c r="C26" s="110" t="s">
        <v>55</v>
      </c>
      <c r="D26" s="78"/>
      <c r="E26" s="167"/>
      <c r="F26" s="167"/>
      <c r="G26" s="167"/>
      <c r="H26" s="168"/>
    </row>
    <row r="35" spans="7:7">
      <c r="G35" t="s">
        <v>74</v>
      </c>
    </row>
  </sheetData>
  <mergeCells count="1">
    <mergeCell ref="E23:H26"/>
  </mergeCells>
  <conditionalFormatting sqref="B19:H19 B23:C24 B21:G21 B25 B20:C20 E20:H20">
    <cfRule type="expression" dxfId="32" priority="10">
      <formula>AND(DAY(B19)&gt;=1,DAY(B19)&lt;=15)</formula>
    </cfRule>
  </conditionalFormatting>
  <conditionalFormatting sqref="D23:D25">
    <cfRule type="expression" dxfId="31" priority="7">
      <formula>AND(DAY(D23)&gt;=1,DAY(D23)&lt;=15)</formula>
    </cfRule>
  </conditionalFormatting>
  <conditionalFormatting sqref="B3:G5">
    <cfRule type="expression" dxfId="30" priority="1">
      <formula>DAY(B3)&gt;8</formula>
    </cfRule>
  </conditionalFormatting>
  <dataValidations xWindow="208" yWindow="410" count="9">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scriba notas en esta celda." sqref="E23:H26"/>
    <dataValidation allowBlank="1" showInputMessage="1" showErrorMessage="1" prompt="Escriba notas en la celda a la derecha." sqref="D23:D26"/>
    <dataValidation allowBlank="1" showInputMessage="1" showErrorMessage="1" prompt="Calendario del mes de marzo" sqref="A1"/>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l día de la semana se determinará automáticamente" sqref="C2:H2"/>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4"/>
    <pageSetUpPr fitToPage="1"/>
  </sheetPr>
  <dimension ref="A1:H24"/>
  <sheetViews>
    <sheetView showGridLines="0" tabSelected="1" zoomScale="53" zoomScaleNormal="53" workbookViewId="0">
      <selection activeCell="B16" sqref="B16"/>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29" t="str">
        <f>"Abril "&amp;CalendarYear</f>
        <v>Abril 2025</v>
      </c>
      <c r="C1" s="14"/>
      <c r="D1" s="14"/>
      <c r="E1" s="15"/>
      <c r="F1" s="15"/>
      <c r="G1" s="15"/>
      <c r="H1" s="30"/>
    </row>
    <row r="2" spans="1:8" ht="21.75" customHeight="1">
      <c r="A2" s="8"/>
      <c r="B2" s="9" t="str">
        <f>IF(InicioDeSemana="DOMINGO", "DOMINGO","LUNES")</f>
        <v>DOMINGO</v>
      </c>
      <c r="C2" s="9" t="str">
        <f t="shared" ref="C2:H2" si="0">UPPER(TEXT(C3,"dddd"))</f>
        <v>LUNES</v>
      </c>
      <c r="D2" s="9" t="str">
        <f t="shared" si="0"/>
        <v>MARTES</v>
      </c>
      <c r="E2" s="9" t="str">
        <f t="shared" si="0"/>
        <v>MIÉRCOLES</v>
      </c>
      <c r="F2" s="9" t="str">
        <f t="shared" si="0"/>
        <v>JUEVES</v>
      </c>
      <c r="G2" s="9" t="str">
        <f t="shared" si="0"/>
        <v>VIERNES</v>
      </c>
      <c r="H2" s="9" t="str">
        <f t="shared" si="0"/>
        <v>SÁBADO</v>
      </c>
    </row>
    <row r="3" spans="1:8" ht="19.5" customHeight="1">
      <c r="A3" s="8"/>
      <c r="B3" s="116">
        <f t="array" ref="B3:H3">DaysAndWeeks+DATE(CalendarYear,4,1)-WEEKDAY(DATE(CalendarYear,4,1),(InicioDeSemana="Lunes")+1)+1</f>
        <v>45746</v>
      </c>
      <c r="C3" s="116">
        <v>45747</v>
      </c>
      <c r="D3" s="116">
        <v>45748</v>
      </c>
      <c r="E3" s="116">
        <v>45749</v>
      </c>
      <c r="F3" s="116">
        <v>45750</v>
      </c>
      <c r="G3" s="116">
        <v>45751</v>
      </c>
      <c r="H3" s="116">
        <v>45752</v>
      </c>
    </row>
    <row r="4" spans="1:8" s="8" customFormat="1" ht="20.100000000000001" customHeight="1">
      <c r="B4" s="68"/>
      <c r="C4" s="68" t="s">
        <v>42</v>
      </c>
      <c r="D4" s="68" t="s">
        <v>23</v>
      </c>
      <c r="E4" s="68" t="s">
        <v>69</v>
      </c>
      <c r="F4" s="68" t="s">
        <v>38</v>
      </c>
      <c r="G4" s="82" t="s">
        <v>24</v>
      </c>
      <c r="H4" s="72" t="s">
        <v>65</v>
      </c>
    </row>
    <row r="5" spans="1:8" s="8" customFormat="1" ht="20.100000000000001" customHeight="1">
      <c r="B5" s="68"/>
      <c r="C5" s="73" t="s">
        <v>71</v>
      </c>
      <c r="D5" s="8" t="s">
        <v>82</v>
      </c>
      <c r="E5" s="68" t="s">
        <v>78</v>
      </c>
      <c r="F5" s="68" t="s">
        <v>67</v>
      </c>
      <c r="G5" s="68" t="s">
        <v>11</v>
      </c>
      <c r="H5" s="68" t="s">
        <v>73</v>
      </c>
    </row>
    <row r="6" spans="1:8" ht="20.100000000000001" customHeight="1">
      <c r="A6" s="8"/>
      <c r="B6" s="69"/>
      <c r="C6" s="69" t="s">
        <v>55</v>
      </c>
      <c r="D6" s="69" t="s">
        <v>85</v>
      </c>
      <c r="E6" s="69" t="s">
        <v>79</v>
      </c>
      <c r="F6" s="93" t="s">
        <v>5</v>
      </c>
      <c r="G6" t="s">
        <v>60</v>
      </c>
      <c r="H6" s="68" t="s">
        <v>59</v>
      </c>
    </row>
    <row r="7" spans="1:8" ht="20.100000000000001" customHeight="1">
      <c r="A7" s="8"/>
      <c r="B7" s="117">
        <f t="array" ref="B7:H7">DaysAndWeeks+DATE(CalendarYear,4,1)-WEEKDAY(DATE(CalendarYear,4,1),(InicioDeSemana="Lunes")+1)+8</f>
        <v>45753</v>
      </c>
      <c r="C7" s="117">
        <v>45754</v>
      </c>
      <c r="D7" s="117">
        <v>45755</v>
      </c>
      <c r="E7" s="117">
        <v>45756</v>
      </c>
      <c r="F7" s="117">
        <v>45757</v>
      </c>
      <c r="G7" s="117">
        <v>45758</v>
      </c>
      <c r="H7" s="117">
        <v>45759</v>
      </c>
    </row>
    <row r="8" spans="1:8" s="8" customFormat="1" ht="20.100000000000001" customHeight="1">
      <c r="B8" s="72" t="s">
        <v>54</v>
      </c>
      <c r="C8" s="72" t="s">
        <v>82</v>
      </c>
      <c r="D8" s="72" t="s">
        <v>40</v>
      </c>
      <c r="E8" s="72" t="s">
        <v>55</v>
      </c>
      <c r="F8" s="72" t="s">
        <v>8</v>
      </c>
      <c r="G8" s="122" t="s">
        <v>81</v>
      </c>
      <c r="H8" s="8" t="s">
        <v>83</v>
      </c>
    </row>
    <row r="9" spans="1:8" s="8" customFormat="1" ht="20.100000000000001" customHeight="1">
      <c r="B9" s="72" t="s">
        <v>19</v>
      </c>
      <c r="C9" s="72" t="s">
        <v>77</v>
      </c>
      <c r="D9" s="72" t="s">
        <v>35</v>
      </c>
      <c r="E9" s="72" t="s">
        <v>69</v>
      </c>
      <c r="F9" s="82" t="s">
        <v>80</v>
      </c>
      <c r="G9" s="72" t="s">
        <v>17</v>
      </c>
      <c r="H9" s="72" t="s">
        <v>21</v>
      </c>
    </row>
    <row r="10" spans="1:8" ht="20.100000000000001" customHeight="1">
      <c r="A10" s="8"/>
      <c r="B10" s="73" t="s">
        <v>21</v>
      </c>
      <c r="C10" s="69" t="s">
        <v>44</v>
      </c>
      <c r="D10" s="81" t="s">
        <v>39</v>
      </c>
      <c r="E10" s="81" t="s">
        <v>50</v>
      </c>
      <c r="F10" s="73" t="s">
        <v>67</v>
      </c>
      <c r="G10" s="97" t="s">
        <v>31</v>
      </c>
      <c r="H10" s="119" t="s">
        <v>73</v>
      </c>
    </row>
    <row r="11" spans="1:8" ht="20.100000000000001" customHeight="1">
      <c r="A11" s="8"/>
      <c r="B11" s="118">
        <f t="array" ref="B11:H11">DaysAndWeeks+DATE(CalendarYear,4,1)-WEEKDAY(DATE(CalendarYear,4,1),(InicioDeSemana="Lunes")+1)+15</f>
        <v>45760</v>
      </c>
      <c r="C11" s="118">
        <v>45761</v>
      </c>
      <c r="D11" s="118">
        <v>45762</v>
      </c>
      <c r="E11" s="118">
        <v>45763</v>
      </c>
      <c r="F11" s="118">
        <v>45764</v>
      </c>
      <c r="G11" s="118">
        <v>45765</v>
      </c>
      <c r="H11" s="118">
        <v>45766</v>
      </c>
    </row>
    <row r="12" spans="1:8" s="8" customFormat="1" ht="20.100000000000001" customHeight="1">
      <c r="B12" s="171" t="s">
        <v>30</v>
      </c>
      <c r="C12" s="68" t="s">
        <v>47</v>
      </c>
      <c r="D12" s="72" t="s">
        <v>57</v>
      </c>
      <c r="E12" s="8" t="s">
        <v>78</v>
      </c>
      <c r="F12" s="68" t="s">
        <v>53</v>
      </c>
      <c r="G12" s="68" t="s">
        <v>42</v>
      </c>
      <c r="H12" s="69" t="s">
        <v>72</v>
      </c>
    </row>
    <row r="13" spans="1:8" s="8" customFormat="1" ht="20.100000000000001" customHeight="1">
      <c r="B13" s="114" t="s">
        <v>66</v>
      </c>
      <c r="C13" s="114" t="s">
        <v>44</v>
      </c>
      <c r="D13" s="68" t="s">
        <v>39</v>
      </c>
      <c r="E13" s="68" t="s">
        <v>34</v>
      </c>
      <c r="F13" s="69" t="s">
        <v>60</v>
      </c>
      <c r="G13" s="121" t="s">
        <v>81</v>
      </c>
      <c r="H13" s="8" t="s">
        <v>65</v>
      </c>
    </row>
    <row r="14" spans="1:8" ht="20.100000000000001" customHeight="1">
      <c r="A14" s="8"/>
      <c r="B14" s="69" t="s">
        <v>19</v>
      </c>
      <c r="C14" s="114" t="s">
        <v>71</v>
      </c>
      <c r="D14" s="93" t="s">
        <v>45</v>
      </c>
      <c r="E14" t="s">
        <v>17</v>
      </c>
      <c r="F14" s="72" t="s">
        <v>80</v>
      </c>
      <c r="G14" s="69" t="s">
        <v>12</v>
      </c>
      <c r="H14" s="68" t="s">
        <v>16</v>
      </c>
    </row>
    <row r="15" spans="1:8" ht="20.100000000000001" customHeight="1">
      <c r="A15" s="8"/>
      <c r="B15" s="117">
        <f t="array" ref="B15:H15">DaysAndWeeks+DATE(CalendarYear,4,1)-WEEKDAY(DATE(CalendarYear,4,1),(InicioDeSemana="Lunes")+1)+22</f>
        <v>45767</v>
      </c>
      <c r="C15" s="117">
        <v>45768</v>
      </c>
      <c r="D15" s="117">
        <v>45769</v>
      </c>
      <c r="E15" s="117">
        <v>45770</v>
      </c>
      <c r="F15" s="117">
        <v>45771</v>
      </c>
      <c r="G15" s="117">
        <v>45772</v>
      </c>
      <c r="H15" s="117">
        <v>45773</v>
      </c>
    </row>
    <row r="16" spans="1:8" s="8" customFormat="1" ht="20.100000000000001" customHeight="1">
      <c r="B16" s="96" t="s">
        <v>19</v>
      </c>
      <c r="C16" s="72" t="s">
        <v>44</v>
      </c>
      <c r="D16" s="72" t="s">
        <v>22</v>
      </c>
      <c r="E16" s="68" t="s">
        <v>43</v>
      </c>
      <c r="F16" s="72" t="s">
        <v>20</v>
      </c>
      <c r="G16" s="72" t="s">
        <v>61</v>
      </c>
      <c r="H16" s="92" t="s">
        <v>31</v>
      </c>
    </row>
    <row r="17" spans="1:8" s="8" customFormat="1" ht="20.100000000000001" customHeight="1">
      <c r="B17" s="72" t="s">
        <v>58</v>
      </c>
      <c r="C17" s="120" t="s">
        <v>17</v>
      </c>
      <c r="D17" s="8" t="s">
        <v>47</v>
      </c>
      <c r="E17" s="72" t="s">
        <v>5</v>
      </c>
      <c r="F17" s="8" t="s">
        <v>60</v>
      </c>
      <c r="G17" s="72" t="s">
        <v>25</v>
      </c>
      <c r="H17" s="72" t="s">
        <v>37</v>
      </c>
    </row>
    <row r="18" spans="1:8" ht="20.100000000000001" customHeight="1">
      <c r="A18" s="8"/>
      <c r="B18" s="69" t="s">
        <v>66</v>
      </c>
      <c r="C18" t="s">
        <v>79</v>
      </c>
      <c r="D18" s="81" t="s">
        <v>23</v>
      </c>
      <c r="E18" s="81" t="s">
        <v>50</v>
      </c>
      <c r="F18" s="73" t="s">
        <v>38</v>
      </c>
      <c r="G18" s="92" t="s">
        <v>48</v>
      </c>
      <c r="H18" s="73" t="s">
        <v>16</v>
      </c>
    </row>
    <row r="19" spans="1:8" ht="20.100000000000001" customHeight="1">
      <c r="A19" s="8"/>
      <c r="B19" s="118">
        <f t="array" ref="B19:H19">DaysAndWeeks+DATE(CalendarYear,4,1)-WEEKDAY(DATE(CalendarYear,4,1),(InicioDeSemana="Lunes")+1)+29</f>
        <v>45774</v>
      </c>
      <c r="C19" s="118">
        <v>45775</v>
      </c>
      <c r="D19" s="118">
        <v>45776</v>
      </c>
      <c r="E19" s="118">
        <v>45777</v>
      </c>
      <c r="F19" s="118">
        <v>45778</v>
      </c>
      <c r="G19" s="118">
        <v>45779</v>
      </c>
      <c r="H19" s="118">
        <v>45780</v>
      </c>
    </row>
    <row r="20" spans="1:8" s="8" customFormat="1" ht="20.100000000000001" customHeight="1">
      <c r="B20" s="68" t="s">
        <v>28</v>
      </c>
      <c r="C20" s="79" t="s">
        <v>42</v>
      </c>
      <c r="D20" s="69" t="s">
        <v>45</v>
      </c>
      <c r="E20" s="68" t="s">
        <v>49</v>
      </c>
      <c r="F20" s="68" t="s">
        <v>77</v>
      </c>
      <c r="G20" s="68" t="s">
        <v>12</v>
      </c>
      <c r="H20" s="68" t="s">
        <v>54</v>
      </c>
    </row>
    <row r="21" spans="1:8" s="8" customFormat="1" ht="20.100000000000001" customHeight="1">
      <c r="B21" s="68" t="s">
        <v>30</v>
      </c>
      <c r="C21" s="123" t="s">
        <v>5</v>
      </c>
      <c r="D21" s="72" t="s">
        <v>52</v>
      </c>
      <c r="E21" s="68" t="s">
        <v>78</v>
      </c>
      <c r="F21" s="120" t="s">
        <v>71</v>
      </c>
      <c r="G21" s="68" t="s">
        <v>57</v>
      </c>
      <c r="H21" s="68" t="s">
        <v>59</v>
      </c>
    </row>
    <row r="22" spans="1:8" ht="20.100000000000001" customHeight="1">
      <c r="A22" s="8"/>
      <c r="B22" s="69" t="s">
        <v>56</v>
      </c>
      <c r="C22" s="124" t="s">
        <v>47</v>
      </c>
      <c r="D22" t="s">
        <v>48</v>
      </c>
      <c r="E22" s="69" t="s">
        <v>43</v>
      </c>
      <c r="F22" s="69" t="s">
        <v>80</v>
      </c>
      <c r="G22" s="92" t="s">
        <v>31</v>
      </c>
      <c r="H22" s="69" t="s">
        <v>72</v>
      </c>
    </row>
    <row r="23" spans="1:8" ht="19.5" customHeight="1">
      <c r="A23" s="8"/>
      <c r="B23" s="65">
        <f t="array" ref="B23:C23">DaysAndWeeks+DATE(CalendarYear,4,1)-WEEKDAY(DATE(CalendarYear,4,1),(InicioDeSemana="Lunes")+1)+36</f>
        <v>45781</v>
      </c>
      <c r="C23" s="65">
        <v>45782</v>
      </c>
      <c r="D23" s="87" t="s">
        <v>0</v>
      </c>
      <c r="E23" s="165"/>
      <c r="F23" s="165"/>
      <c r="G23" s="165"/>
      <c r="H23" s="166"/>
    </row>
    <row r="24" spans="1:8" ht="57.95" customHeight="1">
      <c r="A24" s="8"/>
      <c r="B24" s="66"/>
      <c r="C24" s="66"/>
      <c r="D24" s="63"/>
      <c r="E24" s="167"/>
      <c r="F24" s="167"/>
      <c r="G24" s="167"/>
      <c r="H24" s="168"/>
    </row>
  </sheetData>
  <mergeCells count="1">
    <mergeCell ref="E23:H24"/>
  </mergeCells>
  <conditionalFormatting sqref="B19:H19 B23:C23 B21 C17 B20:C20 E20:H21">
    <cfRule type="expression" dxfId="29" priority="5">
      <formula>AND(DAY(B17)&gt;=1,DAY(B17)&lt;=15)</formula>
    </cfRule>
  </conditionalFormatting>
  <conditionalFormatting sqref="B3:G3 B5 F5:G5 E13 B4:F4">
    <cfRule type="expression" dxfId="28" priority="4">
      <formula>DAY(B3)&gt;8</formula>
    </cfRule>
  </conditionalFormatting>
  <conditionalFormatting sqref="D23">
    <cfRule type="expression" dxfId="27" priority="2">
      <formula>AND(DAY(D23)&gt;=1,DAY(D23)&lt;=15)</formula>
    </cfRule>
  </conditionalFormatting>
  <conditionalFormatting sqref="H6">
    <cfRule type="expression" dxfId="26" priority="1">
      <formula>AND(DAY(H6)&gt;=1,DAY(H6)&lt;=15)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abril"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pageSetUpPr fitToPage="1"/>
  </sheetPr>
  <dimension ref="A1:H24"/>
  <sheetViews>
    <sheetView showGridLines="0" zoomScale="50" zoomScaleNormal="50" workbookViewId="0">
      <selection activeCell="E10" sqref="E10"/>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35" t="str">
        <f>"Mayo "&amp;CalendarYear</f>
        <v>Mayo 2025</v>
      </c>
      <c r="C1" s="36"/>
      <c r="D1" s="36"/>
      <c r="E1" s="37"/>
      <c r="F1" s="37"/>
      <c r="G1" s="37"/>
      <c r="H1" s="38"/>
    </row>
    <row r="2" spans="1:8" ht="21.75" customHeight="1">
      <c r="A2" s="8"/>
      <c r="B2" s="9" t="str">
        <f>IF(InicioDeSemana="DOMINGO", "DOMINGO","LUNES")</f>
        <v>DOMINGO</v>
      </c>
      <c r="C2" s="9" t="str">
        <f t="shared" ref="C2:H2" si="0">UPPER(TEXT(C3,"dddd"))</f>
        <v>LUNES</v>
      </c>
      <c r="D2" s="9" t="str">
        <f t="shared" si="0"/>
        <v>MARTES</v>
      </c>
      <c r="E2" s="9" t="str">
        <f t="shared" si="0"/>
        <v>MIÉRCOLES</v>
      </c>
      <c r="F2" s="9" t="str">
        <f t="shared" si="0"/>
        <v>JUEVES</v>
      </c>
      <c r="G2" s="9" t="str">
        <f t="shared" si="0"/>
        <v>VIERNES</v>
      </c>
      <c r="H2" s="9" t="str">
        <f t="shared" si="0"/>
        <v>SÁBADO</v>
      </c>
    </row>
    <row r="3" spans="1:8" s="104" customFormat="1" ht="19.5" customHeight="1">
      <c r="B3" s="125">
        <f t="array" ref="B3:H3">DaysAndWeeks+DATE(CalendarYear,5,1)-WEEKDAY(DATE(CalendarYear,5,1),(InicioDeSemana="Lunes")+1)+1</f>
        <v>45774</v>
      </c>
      <c r="C3" s="125">
        <v>45775</v>
      </c>
      <c r="D3" s="125">
        <v>45776</v>
      </c>
      <c r="E3" s="125">
        <v>45777</v>
      </c>
      <c r="F3" s="125">
        <v>45778</v>
      </c>
      <c r="G3" s="125">
        <v>45779</v>
      </c>
      <c r="H3" s="125">
        <v>45780</v>
      </c>
    </row>
    <row r="4" spans="1:8" s="8" customFormat="1" ht="20.100000000000001" customHeight="1">
      <c r="B4" s="68"/>
      <c r="C4" s="68" t="s">
        <v>42</v>
      </c>
      <c r="D4" s="68" t="s">
        <v>45</v>
      </c>
      <c r="E4" s="68" t="s">
        <v>49</v>
      </c>
      <c r="F4" s="68" t="s">
        <v>77</v>
      </c>
      <c r="G4" s="68" t="s">
        <v>12</v>
      </c>
      <c r="H4" s="68" t="s">
        <v>54</v>
      </c>
    </row>
    <row r="5" spans="1:8" s="8" customFormat="1" ht="20.100000000000001" customHeight="1">
      <c r="B5" s="68"/>
      <c r="C5" s="68" t="s">
        <v>5</v>
      </c>
      <c r="D5" s="68" t="s">
        <v>52</v>
      </c>
      <c r="E5" s="68" t="s">
        <v>78</v>
      </c>
      <c r="F5" s="68" t="s">
        <v>92</v>
      </c>
      <c r="G5" s="68" t="s">
        <v>57</v>
      </c>
      <c r="H5" s="68" t="s">
        <v>73</v>
      </c>
    </row>
    <row r="6" spans="1:8" ht="20.100000000000001" customHeight="1">
      <c r="A6" s="8"/>
      <c r="B6" s="69"/>
      <c r="C6" s="69" t="s">
        <v>47</v>
      </c>
      <c r="D6" s="69" t="s">
        <v>48</v>
      </c>
      <c r="E6" s="69" t="s">
        <v>43</v>
      </c>
      <c r="F6" s="69" t="s">
        <v>80</v>
      </c>
      <c r="G6" s="69" t="s">
        <v>31</v>
      </c>
      <c r="H6" s="69" t="s">
        <v>72</v>
      </c>
    </row>
    <row r="7" spans="1:8" ht="20.100000000000001" customHeight="1">
      <c r="A7" s="8"/>
      <c r="B7" s="126">
        <f t="array" ref="B7:H7">DaysAndWeeks+DATE(CalendarYear,5,1)-WEEKDAY(DATE(CalendarYear,5,1),(InicioDeSemana="Lunes")+1)+8</f>
        <v>45781</v>
      </c>
      <c r="C7" s="126">
        <v>45782</v>
      </c>
      <c r="D7" s="126">
        <v>45783</v>
      </c>
      <c r="E7" s="126">
        <v>45784</v>
      </c>
      <c r="F7" s="126">
        <v>45785</v>
      </c>
      <c r="G7" s="126">
        <v>45786</v>
      </c>
      <c r="H7" s="126">
        <v>45787</v>
      </c>
    </row>
    <row r="8" spans="1:8" s="8" customFormat="1" ht="20.100000000000001" customHeight="1">
      <c r="B8" s="72" t="s">
        <v>86</v>
      </c>
      <c r="C8" s="72" t="s">
        <v>44</v>
      </c>
      <c r="D8" s="72" t="s">
        <v>23</v>
      </c>
      <c r="E8" s="72" t="s">
        <v>43</v>
      </c>
      <c r="F8" s="72" t="s">
        <v>38</v>
      </c>
      <c r="G8" s="72" t="s">
        <v>87</v>
      </c>
      <c r="H8" s="72" t="s">
        <v>15</v>
      </c>
    </row>
    <row r="9" spans="1:8" s="8" customFormat="1" ht="20.100000000000001" customHeight="1">
      <c r="B9" s="72" t="s">
        <v>55</v>
      </c>
      <c r="C9" s="72" t="s">
        <v>77</v>
      </c>
      <c r="D9" s="72" t="s">
        <v>35</v>
      </c>
      <c r="E9" s="72" t="s">
        <v>58</v>
      </c>
      <c r="F9" s="72" t="s">
        <v>67</v>
      </c>
      <c r="G9" s="72" t="s">
        <v>57</v>
      </c>
      <c r="H9" s="72" t="s">
        <v>29</v>
      </c>
    </row>
    <row r="10" spans="1:8" ht="20.100000000000001" customHeight="1">
      <c r="A10" s="8"/>
      <c r="B10" s="73" t="s">
        <v>83</v>
      </c>
      <c r="C10" s="81" t="s">
        <v>50</v>
      </c>
      <c r="D10" s="73" t="s">
        <v>39</v>
      </c>
      <c r="E10" s="81" t="s">
        <v>17</v>
      </c>
      <c r="F10" s="73" t="s">
        <v>8</v>
      </c>
      <c r="G10" t="s">
        <v>12</v>
      </c>
      <c r="H10" s="73" t="s">
        <v>73</v>
      </c>
    </row>
    <row r="11" spans="1:8" ht="20.100000000000001" customHeight="1">
      <c r="A11" s="8"/>
      <c r="B11" s="127">
        <f t="array" ref="B11:H11">DaysAndWeeks+DATE(CalendarYear,5,1)-WEEKDAY(DATE(CalendarYear,5,1),(InicioDeSemana="Lunes")+1)+15</f>
        <v>45788</v>
      </c>
      <c r="C11" s="127">
        <v>45789</v>
      </c>
      <c r="D11" s="127">
        <v>45790</v>
      </c>
      <c r="E11" s="127">
        <v>45791</v>
      </c>
      <c r="F11" s="127">
        <v>45792</v>
      </c>
      <c r="G11" s="127">
        <v>45793</v>
      </c>
      <c r="H11" s="127">
        <v>45794</v>
      </c>
    </row>
    <row r="12" spans="1:8" s="8" customFormat="1" ht="20.100000000000001" customHeight="1">
      <c r="B12" s="68" t="s">
        <v>72</v>
      </c>
      <c r="C12" s="120" t="s">
        <v>95</v>
      </c>
      <c r="D12" s="68" t="s">
        <v>47</v>
      </c>
      <c r="E12" s="68" t="s">
        <v>78</v>
      </c>
      <c r="F12" s="68" t="s">
        <v>88</v>
      </c>
      <c r="G12" s="68" t="s">
        <v>31</v>
      </c>
      <c r="H12" s="68" t="s">
        <v>91</v>
      </c>
    </row>
    <row r="13" spans="1:8" s="8" customFormat="1" ht="20.100000000000001" customHeight="1">
      <c r="B13" s="68" t="s">
        <v>56</v>
      </c>
      <c r="C13" s="68" t="s">
        <v>90</v>
      </c>
      <c r="D13" s="68" t="s">
        <v>23</v>
      </c>
      <c r="E13" s="8" t="s">
        <v>43</v>
      </c>
      <c r="F13" s="68" t="s">
        <v>68</v>
      </c>
      <c r="G13" s="79" t="s">
        <v>42</v>
      </c>
      <c r="H13" s="68" t="s">
        <v>29</v>
      </c>
    </row>
    <row r="14" spans="1:8" ht="20.100000000000001" customHeight="1">
      <c r="A14" s="8"/>
      <c r="B14" s="69" t="s">
        <v>66</v>
      </c>
      <c r="C14" s="69" t="s">
        <v>44</v>
      </c>
      <c r="D14" s="128" t="s">
        <v>86</v>
      </c>
      <c r="E14" s="93" t="s">
        <v>96</v>
      </c>
      <c r="F14" s="69" t="s">
        <v>38</v>
      </c>
      <c r="G14" s="93" t="s">
        <v>50</v>
      </c>
      <c r="H14" s="68" t="s">
        <v>15</v>
      </c>
    </row>
    <row r="15" spans="1:8" ht="20.100000000000001" customHeight="1">
      <c r="A15" s="8"/>
      <c r="B15" s="126">
        <f t="array" ref="B15:H15">DaysAndWeeks+DATE(CalendarYear,5,1)-WEEKDAY(DATE(CalendarYear,5,1),(InicioDeSemana="Lunes")+1)+22</f>
        <v>45795</v>
      </c>
      <c r="C15" s="126">
        <v>45796</v>
      </c>
      <c r="D15" s="126">
        <v>45797</v>
      </c>
      <c r="E15" s="126">
        <v>45798</v>
      </c>
      <c r="F15" s="126">
        <v>45799</v>
      </c>
      <c r="G15" s="126">
        <v>45800</v>
      </c>
      <c r="H15" s="126">
        <v>45801</v>
      </c>
    </row>
    <row r="16" spans="1:8" s="8" customFormat="1" ht="20.100000000000001" customHeight="1">
      <c r="B16" s="72" t="s">
        <v>28</v>
      </c>
      <c r="C16" s="72" t="s">
        <v>55</v>
      </c>
      <c r="D16" s="72" t="s">
        <v>39</v>
      </c>
      <c r="E16" s="82" t="s">
        <v>5</v>
      </c>
      <c r="F16" s="72" t="s">
        <v>22</v>
      </c>
      <c r="G16" s="72" t="s">
        <v>8</v>
      </c>
      <c r="H16" s="72" t="s">
        <v>89</v>
      </c>
    </row>
    <row r="17" spans="1:8" s="8" customFormat="1" ht="20.100000000000001" customHeight="1">
      <c r="B17" s="72" t="s">
        <v>30</v>
      </c>
      <c r="C17" s="72" t="s">
        <v>47</v>
      </c>
      <c r="D17" s="8" t="s">
        <v>52</v>
      </c>
      <c r="E17" s="68" t="s">
        <v>34</v>
      </c>
      <c r="F17" s="72" t="s">
        <v>80</v>
      </c>
      <c r="G17" s="82" t="s">
        <v>97</v>
      </c>
      <c r="H17" s="72" t="s">
        <v>21</v>
      </c>
    </row>
    <row r="18" spans="1:8" ht="20.100000000000001" customHeight="1">
      <c r="A18" s="8"/>
      <c r="B18" s="128" t="s">
        <v>98</v>
      </c>
      <c r="C18" s="81" t="s">
        <v>86</v>
      </c>
      <c r="D18" s="72" t="s">
        <v>45</v>
      </c>
      <c r="E18" s="73" t="s">
        <v>78</v>
      </c>
      <c r="F18" t="s">
        <v>67</v>
      </c>
      <c r="G18" s="73" t="s">
        <v>92</v>
      </c>
      <c r="H18" s="81" t="s">
        <v>17</v>
      </c>
    </row>
    <row r="19" spans="1:8" ht="20.100000000000001" customHeight="1">
      <c r="A19" s="8"/>
      <c r="B19" s="127">
        <f t="array" ref="B19:H19">DaysAndWeeks+DATE(CalendarYear,5,1)-WEEKDAY(DATE(CalendarYear,5,1),(InicioDeSemana="Lunes")+1)+29</f>
        <v>45802</v>
      </c>
      <c r="C19" s="127">
        <v>45803</v>
      </c>
      <c r="D19" s="127">
        <v>45804</v>
      </c>
      <c r="E19" s="127">
        <v>45805</v>
      </c>
      <c r="F19" s="127">
        <v>45806</v>
      </c>
      <c r="G19" s="127">
        <v>45807</v>
      </c>
      <c r="H19" s="127">
        <v>45808</v>
      </c>
    </row>
    <row r="20" spans="1:8" s="8" customFormat="1" ht="20.100000000000001" customHeight="1">
      <c r="B20" s="68" t="s">
        <v>30</v>
      </c>
      <c r="C20" s="68" t="s">
        <v>42</v>
      </c>
      <c r="D20" s="68" t="s">
        <v>45</v>
      </c>
      <c r="E20" s="68" t="s">
        <v>94</v>
      </c>
      <c r="F20" s="68" t="s">
        <v>53</v>
      </c>
      <c r="G20" s="68" t="s">
        <v>61</v>
      </c>
      <c r="H20" s="69" t="s">
        <v>98</v>
      </c>
    </row>
    <row r="21" spans="1:8" s="8" customFormat="1" ht="20.100000000000001" customHeight="1">
      <c r="B21" s="68" t="s">
        <v>66</v>
      </c>
      <c r="C21" s="120" t="s">
        <v>96</v>
      </c>
      <c r="D21" s="93" t="s">
        <v>95</v>
      </c>
      <c r="E21" s="97" t="s">
        <v>89</v>
      </c>
      <c r="F21" s="68" t="s">
        <v>52</v>
      </c>
      <c r="G21" s="68" t="s">
        <v>50</v>
      </c>
      <c r="H21" s="68" t="s">
        <v>56</v>
      </c>
    </row>
    <row r="22" spans="1:8" ht="20.100000000000001" customHeight="1">
      <c r="A22" s="8"/>
      <c r="B22" s="8" t="s">
        <v>93</v>
      </c>
      <c r="C22" s="128" t="s">
        <v>5</v>
      </c>
      <c r="D22" s="69" t="s">
        <v>79</v>
      </c>
      <c r="E22" s="69" t="s">
        <v>55</v>
      </c>
      <c r="F22" s="73" t="s">
        <v>8</v>
      </c>
      <c r="G22" s="73" t="s">
        <v>48</v>
      </c>
      <c r="H22" s="69" t="s">
        <v>21</v>
      </c>
    </row>
    <row r="23" spans="1:8" ht="19.5" customHeight="1">
      <c r="A23" s="8"/>
      <c r="B23" s="65">
        <f t="array" ref="B23:C23">DaysAndWeeks+DATE(CalendarYear,5,1)-WEEKDAY(DATE(CalendarYear,5,1),(InicioDeSemana="Lunes")+1)+36</f>
        <v>45809</v>
      </c>
      <c r="C23" s="65">
        <v>45810</v>
      </c>
      <c r="D23" s="87" t="s">
        <v>0</v>
      </c>
      <c r="E23" s="165"/>
      <c r="F23" s="165"/>
      <c r="G23" s="165"/>
      <c r="H23" s="166"/>
    </row>
    <row r="24" spans="1:8" ht="57.95" customHeight="1">
      <c r="A24" s="8"/>
      <c r="B24" s="66"/>
      <c r="C24" s="66"/>
      <c r="D24" s="63"/>
      <c r="E24" s="167"/>
      <c r="F24" s="167"/>
      <c r="G24" s="167"/>
      <c r="H24" s="168"/>
    </row>
  </sheetData>
  <mergeCells count="1">
    <mergeCell ref="E23:H24"/>
  </mergeCells>
  <conditionalFormatting sqref="B23:C23 B21:C21 F21:H21 B19:H19 B20:G20 H12">
    <cfRule type="expression" dxfId="25" priority="4">
      <formula>AND(DAY(B12)&gt;=1,DAY(B12)&lt;=15)</formula>
    </cfRule>
  </conditionalFormatting>
  <conditionalFormatting sqref="B3:G5">
    <cfRule type="expression" dxfId="24" priority="3">
      <formula>DAY(B3)&gt;8</formula>
    </cfRule>
  </conditionalFormatting>
  <conditionalFormatting sqref="D23">
    <cfRule type="expression" dxfId="23"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mayo"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7" tint="0.59999389629810485"/>
    <pageSetUpPr fitToPage="1"/>
  </sheetPr>
  <dimension ref="A1:H24"/>
  <sheetViews>
    <sheetView showGridLines="0" zoomScale="48" zoomScaleNormal="48" workbookViewId="0">
      <selection activeCell="H16" sqref="H16"/>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21" t="str">
        <f>"Junio "&amp;CalendarYear</f>
        <v>Junio 2025</v>
      </c>
      <c r="C1" s="22"/>
      <c r="D1" s="22"/>
      <c r="E1" s="23"/>
      <c r="F1" s="23"/>
      <c r="G1" s="23"/>
      <c r="H1" s="24"/>
    </row>
    <row r="2" spans="1:8" ht="21.75" customHeight="1">
      <c r="A2" s="8"/>
      <c r="B2" s="9" t="str">
        <f>IF(InicioDeSemana="DOMINGO", "DOMINGO","LUNES")</f>
        <v>DOMINGO</v>
      </c>
      <c r="C2" s="9" t="str">
        <f t="shared" ref="C2:H2" si="0">UPPER(TEXT(C3,"dddd"))</f>
        <v>LUNES</v>
      </c>
      <c r="D2" s="9" t="str">
        <f t="shared" si="0"/>
        <v>MARTES</v>
      </c>
      <c r="E2" s="9" t="str">
        <f t="shared" si="0"/>
        <v>MIÉRCOLES</v>
      </c>
      <c r="F2" s="9" t="str">
        <f t="shared" si="0"/>
        <v>JUEVES</v>
      </c>
      <c r="G2" s="9" t="str">
        <f t="shared" si="0"/>
        <v>VIERNES</v>
      </c>
      <c r="H2" s="9" t="str">
        <f t="shared" si="0"/>
        <v>SÁBADO</v>
      </c>
    </row>
    <row r="3" spans="1:8" ht="19.5" customHeight="1">
      <c r="A3" s="8"/>
      <c r="B3" s="129">
        <f t="array" ref="B3:H3">DaysAndWeeks+DATE(CalendarYear,6,1)-WEEKDAY(DATE(CalendarYear,6,1),(InicioDeSemana="Lunes")+1)+1</f>
        <v>45809</v>
      </c>
      <c r="C3" s="129">
        <v>45810</v>
      </c>
      <c r="D3" s="129">
        <v>45811</v>
      </c>
      <c r="E3" s="129">
        <v>45812</v>
      </c>
      <c r="F3" s="129">
        <v>45813</v>
      </c>
      <c r="G3" s="129">
        <v>45814</v>
      </c>
      <c r="H3" s="129">
        <v>45815</v>
      </c>
    </row>
    <row r="4" spans="1:8" s="8" customFormat="1" ht="20.100000000000001" customHeight="1">
      <c r="B4" s="68" t="s">
        <v>99</v>
      </c>
      <c r="C4" s="68" t="s">
        <v>43</v>
      </c>
      <c r="D4" s="68" t="s">
        <v>95</v>
      </c>
      <c r="E4" s="68" t="s">
        <v>78</v>
      </c>
      <c r="F4" s="68" t="s">
        <v>80</v>
      </c>
      <c r="G4" s="8" t="s">
        <v>87</v>
      </c>
      <c r="H4" s="68" t="s">
        <v>15</v>
      </c>
    </row>
    <row r="5" spans="1:8" s="8" customFormat="1" ht="20.100000000000001" customHeight="1">
      <c r="B5" s="68" t="s">
        <v>56</v>
      </c>
      <c r="C5" s="68" t="s">
        <v>44</v>
      </c>
      <c r="D5" s="68" t="s">
        <v>39</v>
      </c>
      <c r="E5" s="8" t="s">
        <v>106</v>
      </c>
      <c r="F5" s="68" t="s">
        <v>89</v>
      </c>
      <c r="G5" s="68" t="s">
        <v>31</v>
      </c>
      <c r="H5" s="68" t="s">
        <v>59</v>
      </c>
    </row>
    <row r="6" spans="1:8" ht="20.100000000000001" customHeight="1">
      <c r="A6" s="8"/>
      <c r="B6" s="69" t="s">
        <v>54</v>
      </c>
      <c r="C6" s="69" t="s">
        <v>47</v>
      </c>
      <c r="D6" s="69" t="s">
        <v>48</v>
      </c>
      <c r="E6" s="69" t="s">
        <v>5</v>
      </c>
      <c r="F6" s="69" t="s">
        <v>67</v>
      </c>
      <c r="G6" s="69" t="s">
        <v>60</v>
      </c>
      <c r="H6" s="69" t="s">
        <v>73</v>
      </c>
    </row>
    <row r="7" spans="1:8" ht="20.100000000000001" customHeight="1">
      <c r="A7" s="8"/>
      <c r="B7" s="130">
        <f t="array" ref="B7:H7">DaysAndWeeks+DATE(CalendarYear,6,1)-WEEKDAY(DATE(CalendarYear,6,1),(InicioDeSemana="Lunes")+1)+8</f>
        <v>45816</v>
      </c>
      <c r="C7" s="130">
        <v>45817</v>
      </c>
      <c r="D7" s="130">
        <v>45818</v>
      </c>
      <c r="E7" s="130">
        <v>45819</v>
      </c>
      <c r="F7" s="130">
        <v>45820</v>
      </c>
      <c r="G7" s="130">
        <v>45821</v>
      </c>
      <c r="H7" s="130">
        <v>45822</v>
      </c>
    </row>
    <row r="8" spans="1:8" s="8" customFormat="1" ht="20.100000000000001" customHeight="1">
      <c r="B8" s="72" t="s">
        <v>72</v>
      </c>
      <c r="C8" s="72" t="s">
        <v>42</v>
      </c>
      <c r="D8" s="72" t="s">
        <v>57</v>
      </c>
      <c r="E8" s="72" t="s">
        <v>86</v>
      </c>
      <c r="F8" s="72" t="s">
        <v>53</v>
      </c>
      <c r="G8" s="72" t="s">
        <v>12</v>
      </c>
      <c r="H8" s="72" t="s">
        <v>91</v>
      </c>
    </row>
    <row r="9" spans="1:8" s="8" customFormat="1" ht="20.100000000000001" customHeight="1">
      <c r="B9" s="72" t="s">
        <v>66</v>
      </c>
      <c r="C9" s="72" t="s">
        <v>77</v>
      </c>
      <c r="D9" s="72" t="s">
        <v>45</v>
      </c>
      <c r="E9" s="72" t="s">
        <v>34</v>
      </c>
      <c r="F9" s="72" t="s">
        <v>69</v>
      </c>
      <c r="G9" s="94" t="s">
        <v>105</v>
      </c>
      <c r="H9" s="72" t="s">
        <v>73</v>
      </c>
    </row>
    <row r="10" spans="1:8" ht="20.100000000000001" customHeight="1">
      <c r="A10" s="8"/>
      <c r="B10" s="73" t="s">
        <v>90</v>
      </c>
      <c r="C10" s="73" t="s">
        <v>50</v>
      </c>
      <c r="D10" s="73" t="s">
        <v>100</v>
      </c>
      <c r="E10" s="73" t="s">
        <v>55</v>
      </c>
      <c r="F10" s="73" t="s">
        <v>67</v>
      </c>
      <c r="H10" s="73" t="s">
        <v>21</v>
      </c>
    </row>
    <row r="11" spans="1:8" ht="20.100000000000001" customHeight="1">
      <c r="A11" s="8"/>
      <c r="B11" s="131">
        <f t="array" ref="B11:H11">DaysAndWeeks+DATE(CalendarYear,6,1)-WEEKDAY(DATE(CalendarYear,6,1),(InicioDeSemana="Lunes")+1)+15</f>
        <v>45823</v>
      </c>
      <c r="C11" s="131">
        <v>45824</v>
      </c>
      <c r="D11" s="131">
        <v>45825</v>
      </c>
      <c r="E11" s="131">
        <v>45826</v>
      </c>
      <c r="F11" s="131">
        <v>45827</v>
      </c>
      <c r="G11" s="131">
        <v>45828</v>
      </c>
      <c r="H11" s="131">
        <v>45829</v>
      </c>
    </row>
    <row r="12" spans="1:8" s="8" customFormat="1" ht="20.100000000000001" customHeight="1">
      <c r="B12" s="68" t="s">
        <v>30</v>
      </c>
      <c r="C12" s="68" t="s">
        <v>60</v>
      </c>
      <c r="D12" s="132" t="s">
        <v>104</v>
      </c>
      <c r="E12" s="68" t="s">
        <v>105</v>
      </c>
      <c r="F12" s="68" t="s">
        <v>44</v>
      </c>
      <c r="G12" s="68" t="s">
        <v>61</v>
      </c>
      <c r="H12" s="68" t="s">
        <v>89</v>
      </c>
    </row>
    <row r="13" spans="1:8" s="8" customFormat="1" ht="20.100000000000001" customHeight="1">
      <c r="B13" s="68" t="s">
        <v>98</v>
      </c>
      <c r="C13" s="68" t="s">
        <v>106</v>
      </c>
      <c r="D13" s="68" t="s">
        <v>35</v>
      </c>
      <c r="E13" s="73" t="s">
        <v>100</v>
      </c>
      <c r="F13" s="68" t="s">
        <v>52</v>
      </c>
      <c r="G13" s="68" t="s">
        <v>48</v>
      </c>
      <c r="H13" s="68" t="s">
        <v>21</v>
      </c>
    </row>
    <row r="14" spans="1:8" ht="20.100000000000001" customHeight="1">
      <c r="A14" s="8"/>
      <c r="B14" s="69" t="s">
        <v>102</v>
      </c>
      <c r="C14" s="69" t="s">
        <v>92</v>
      </c>
      <c r="D14" s="69" t="s">
        <v>17</v>
      </c>
      <c r="E14" t="s">
        <v>78</v>
      </c>
      <c r="F14" s="69" t="s">
        <v>80</v>
      </c>
      <c r="G14" s="69" t="s">
        <v>31</v>
      </c>
      <c r="H14" s="69" t="s">
        <v>15</v>
      </c>
    </row>
    <row r="15" spans="1:8" ht="20.100000000000001" customHeight="1">
      <c r="A15" s="8"/>
      <c r="B15" s="130">
        <f t="array" ref="B15:H15">DaysAndWeeks+DATE(CalendarYear,6,1)-WEEKDAY(DATE(CalendarYear,6,1),(InicioDeSemana="Lunes")+1)+22</f>
        <v>45830</v>
      </c>
      <c r="C15" s="130">
        <v>45831</v>
      </c>
      <c r="D15" s="130">
        <v>45832</v>
      </c>
      <c r="E15" s="130">
        <v>45833</v>
      </c>
      <c r="F15" s="130">
        <v>45834</v>
      </c>
      <c r="G15" s="130">
        <v>45835</v>
      </c>
      <c r="H15" s="130">
        <v>45836</v>
      </c>
    </row>
    <row r="16" spans="1:8" s="8" customFormat="1" ht="20.100000000000001" customHeight="1">
      <c r="B16" s="72" t="s">
        <v>101</v>
      </c>
      <c r="C16" s="8" t="s">
        <v>5</v>
      </c>
      <c r="D16" s="72" t="s">
        <v>22</v>
      </c>
      <c r="E16" s="8" t="s">
        <v>50</v>
      </c>
      <c r="F16" s="72" t="s">
        <v>88</v>
      </c>
      <c r="G16" s="72" t="s">
        <v>89</v>
      </c>
      <c r="H16" s="72" t="s">
        <v>103</v>
      </c>
    </row>
    <row r="17" spans="1:8" s="8" customFormat="1" ht="20.100000000000001" customHeight="1">
      <c r="B17" s="72" t="s">
        <v>56</v>
      </c>
      <c r="C17" s="133" t="s">
        <v>95</v>
      </c>
      <c r="D17" s="72" t="s">
        <v>39</v>
      </c>
      <c r="E17" s="73" t="s">
        <v>69</v>
      </c>
      <c r="F17" s="72" t="s">
        <v>67</v>
      </c>
      <c r="G17" s="94" t="s">
        <v>107</v>
      </c>
      <c r="H17" s="72" t="s">
        <v>83</v>
      </c>
    </row>
    <row r="18" spans="1:8" ht="20.100000000000001" customHeight="1">
      <c r="A18" s="8"/>
      <c r="B18" s="73" t="s">
        <v>66</v>
      </c>
      <c r="C18" s="73" t="s">
        <v>86</v>
      </c>
      <c r="D18" s="73" t="s">
        <v>45</v>
      </c>
      <c r="E18" t="s">
        <v>36</v>
      </c>
      <c r="F18" s="73" t="s">
        <v>77</v>
      </c>
      <c r="G18" s="81" t="s">
        <v>8</v>
      </c>
      <c r="H18" s="73" t="s">
        <v>59</v>
      </c>
    </row>
    <row r="19" spans="1:8" ht="20.100000000000001" customHeight="1">
      <c r="A19" s="8"/>
      <c r="B19" s="131">
        <f t="array" ref="B19:H19">DaysAndWeeks+DATE(CalendarYear,6,1)-WEEKDAY(DATE(CalendarYear,6,1),(InicioDeSemana="Lunes")+1)+29</f>
        <v>45837</v>
      </c>
      <c r="C19" s="131">
        <v>45838</v>
      </c>
      <c r="D19" s="131">
        <v>45839</v>
      </c>
      <c r="E19" s="131">
        <v>45840</v>
      </c>
      <c r="F19" s="131">
        <v>45841</v>
      </c>
      <c r="G19" s="131">
        <v>45842</v>
      </c>
      <c r="H19" s="131">
        <v>45843</v>
      </c>
    </row>
    <row r="20" spans="1:8" s="8" customFormat="1" ht="20.100000000000001" customHeight="1">
      <c r="B20" s="68" t="s">
        <v>98</v>
      </c>
      <c r="C20" s="94" t="s">
        <v>55</v>
      </c>
      <c r="D20" s="68" t="s">
        <v>95</v>
      </c>
      <c r="E20" s="68" t="s">
        <v>43</v>
      </c>
      <c r="F20" s="79" t="s">
        <v>106</v>
      </c>
      <c r="G20" s="79" t="s">
        <v>31</v>
      </c>
      <c r="H20" s="79" t="s">
        <v>60</v>
      </c>
    </row>
    <row r="21" spans="1:8" s="8" customFormat="1" ht="20.100000000000001" customHeight="1">
      <c r="B21" s="68" t="s">
        <v>72</v>
      </c>
      <c r="C21" s="120" t="s">
        <v>92</v>
      </c>
      <c r="D21" s="68" t="s">
        <v>36</v>
      </c>
      <c r="E21" s="79" t="s">
        <v>78</v>
      </c>
      <c r="F21" s="68" t="s">
        <v>8</v>
      </c>
      <c r="G21" s="68" t="s">
        <v>81</v>
      </c>
      <c r="H21" s="120" t="s">
        <v>83</v>
      </c>
    </row>
    <row r="22" spans="1:8" ht="20.100000000000001" customHeight="1">
      <c r="A22" s="8"/>
      <c r="B22" s="69" t="s">
        <v>30</v>
      </c>
      <c r="C22" s="136" t="s">
        <v>44</v>
      </c>
      <c r="D22" s="135" t="s">
        <v>47</v>
      </c>
      <c r="E22" s="69" t="s">
        <v>5</v>
      </c>
      <c r="F22" s="138" t="s">
        <v>108</v>
      </c>
      <c r="G22" s="137" t="s">
        <v>107</v>
      </c>
      <c r="H22" s="69" t="s">
        <v>56</v>
      </c>
    </row>
    <row r="23" spans="1:8" ht="19.5" customHeight="1">
      <c r="A23" s="8"/>
      <c r="B23" s="65">
        <f t="array" ref="B23:C23">DaysAndWeeks+DATE(CalendarYear,6,1)-WEEKDAY(DATE(CalendarYear,6,1),(InicioDeSemana="Lunes")+1)+36</f>
        <v>45844</v>
      </c>
      <c r="C23" s="65">
        <v>45845</v>
      </c>
      <c r="D23" s="87" t="s">
        <v>0</v>
      </c>
      <c r="E23" s="165"/>
      <c r="F23" s="165"/>
      <c r="G23" s="165"/>
      <c r="H23" s="166"/>
    </row>
    <row r="24" spans="1:8" ht="57.95" customHeight="1">
      <c r="A24" s="8"/>
      <c r="B24" s="66"/>
      <c r="C24" s="66"/>
      <c r="D24" s="63"/>
      <c r="E24" s="167"/>
      <c r="F24" s="167"/>
      <c r="G24" s="167"/>
      <c r="H24" s="168"/>
    </row>
  </sheetData>
  <mergeCells count="1">
    <mergeCell ref="E23:H24"/>
  </mergeCells>
  <conditionalFormatting sqref="B19:H19 B23:C23 B21:H21 B20 D20:H20">
    <cfRule type="expression" dxfId="22" priority="4">
      <formula>AND(DAY(B19)&gt;=1,DAY(B19)&lt;=15)</formula>
    </cfRule>
  </conditionalFormatting>
  <conditionalFormatting sqref="B3:G3 B4:F4 B5:D5 F5:G5 E12">
    <cfRule type="expression" dxfId="21" priority="3">
      <formula>DAY(B3)&gt;8</formula>
    </cfRule>
  </conditionalFormatting>
  <conditionalFormatting sqref="D23">
    <cfRule type="expression" dxfId="20"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junio"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7"/>
    <pageSetUpPr fitToPage="1"/>
  </sheetPr>
  <dimension ref="A1:H24"/>
  <sheetViews>
    <sheetView showGridLines="0" topLeftCell="B1" zoomScale="50" zoomScaleNormal="50" workbookViewId="0">
      <selection activeCell="B13" sqref="B13"/>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39" t="str">
        <f>"Julio "&amp;CalendarYear</f>
        <v>Julio 2025</v>
      </c>
      <c r="C1" s="40"/>
      <c r="D1" s="40"/>
      <c r="E1" s="41"/>
      <c r="F1" s="41"/>
      <c r="G1" s="41"/>
      <c r="H1" s="42"/>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03">
        <f t="array" ref="B3:H3">DaysAndWeeks+DATE(CalendarYear,7,1)-WEEKDAY(DATE(CalendarYear,7,1),(InicioDeSemana="Lunes")+1)+1</f>
        <v>45837</v>
      </c>
      <c r="C3" s="103">
        <v>45838</v>
      </c>
      <c r="D3" s="103">
        <v>45839</v>
      </c>
      <c r="E3" s="103">
        <v>45840</v>
      </c>
      <c r="F3" s="103">
        <v>45841</v>
      </c>
      <c r="G3" s="103">
        <v>45842</v>
      </c>
      <c r="H3" s="103">
        <v>45843</v>
      </c>
    </row>
    <row r="4" spans="1:8" s="8" customFormat="1" ht="20.100000000000001" customHeight="1">
      <c r="B4" s="68" t="s">
        <v>98</v>
      </c>
      <c r="C4" s="79" t="s">
        <v>55</v>
      </c>
      <c r="D4" s="68" t="s">
        <v>95</v>
      </c>
      <c r="E4" s="68" t="s">
        <v>43</v>
      </c>
      <c r="F4" s="68" t="s">
        <v>106</v>
      </c>
      <c r="G4" s="141" t="s">
        <v>31</v>
      </c>
      <c r="H4" s="68" t="s">
        <v>60</v>
      </c>
    </row>
    <row r="5" spans="1:8" s="8" customFormat="1" ht="20.100000000000001" customHeight="1">
      <c r="B5" s="68" t="s">
        <v>72</v>
      </c>
      <c r="C5" s="68" t="s">
        <v>92</v>
      </c>
      <c r="D5" s="68" t="s">
        <v>36</v>
      </c>
      <c r="E5" s="68" t="s">
        <v>78</v>
      </c>
      <c r="F5" s="68" t="s">
        <v>8</v>
      </c>
      <c r="G5" s="68" t="s">
        <v>81</v>
      </c>
      <c r="H5" s="68" t="s">
        <v>83</v>
      </c>
    </row>
    <row r="6" spans="1:8" ht="20.100000000000001" customHeight="1">
      <c r="A6" s="8"/>
      <c r="B6" s="69" t="s">
        <v>30</v>
      </c>
      <c r="C6" s="69" t="s">
        <v>44</v>
      </c>
      <c r="D6" s="69" t="s">
        <v>47</v>
      </c>
      <c r="E6" s="69" t="s">
        <v>5</v>
      </c>
      <c r="F6" s="128" t="s">
        <v>108</v>
      </c>
      <c r="G6" t="s">
        <v>107</v>
      </c>
      <c r="H6" s="69" t="s">
        <v>56</v>
      </c>
    </row>
    <row r="7" spans="1:8" ht="20.100000000000001" customHeight="1">
      <c r="A7" s="8"/>
      <c r="B7" s="105">
        <f t="array" ref="B7:H7">DaysAndWeeks+DATE(CalendarYear,7,1)-WEEKDAY(DATE(CalendarYear,7,1),(InicioDeSemana="Lunes")+1)+8</f>
        <v>45844</v>
      </c>
      <c r="C7" s="105">
        <v>45845</v>
      </c>
      <c r="D7" s="105">
        <v>45846</v>
      </c>
      <c r="E7" s="105">
        <v>45847</v>
      </c>
      <c r="F7" s="105">
        <v>45848</v>
      </c>
      <c r="G7" s="105">
        <v>45849</v>
      </c>
      <c r="H7" s="105">
        <v>45850</v>
      </c>
    </row>
    <row r="8" spans="1:8" s="8" customFormat="1" ht="20.100000000000001" customHeight="1">
      <c r="B8" s="72" t="s">
        <v>109</v>
      </c>
      <c r="C8" s="72" t="s">
        <v>44</v>
      </c>
      <c r="D8" s="72" t="s">
        <v>48</v>
      </c>
      <c r="E8" s="72" t="s">
        <v>100</v>
      </c>
      <c r="F8" s="72" t="s">
        <v>53</v>
      </c>
      <c r="G8" s="72" t="s">
        <v>89</v>
      </c>
      <c r="H8" s="72" t="s">
        <v>15</v>
      </c>
    </row>
    <row r="9" spans="1:8" s="8" customFormat="1" ht="20.100000000000001" customHeight="1">
      <c r="B9" s="72" t="s">
        <v>73</v>
      </c>
      <c r="C9" s="72" t="s">
        <v>42</v>
      </c>
      <c r="D9" s="72" t="s">
        <v>35</v>
      </c>
      <c r="E9" s="94" t="s">
        <v>55</v>
      </c>
      <c r="F9" s="72" t="s">
        <v>52</v>
      </c>
      <c r="G9" s="72" t="s">
        <v>12</v>
      </c>
      <c r="H9" s="72" t="s">
        <v>59</v>
      </c>
    </row>
    <row r="10" spans="1:8" ht="20.100000000000001" customHeight="1">
      <c r="A10" s="8"/>
      <c r="B10" s="73" t="s">
        <v>72</v>
      </c>
      <c r="C10" s="73" t="s">
        <v>50</v>
      </c>
      <c r="D10" s="95" t="s">
        <v>5</v>
      </c>
      <c r="E10" s="95" t="s">
        <v>78</v>
      </c>
      <c r="F10" s="81" t="s">
        <v>69</v>
      </c>
      <c r="G10" s="69" t="s">
        <v>72</v>
      </c>
      <c r="H10" s="73" t="s">
        <v>73</v>
      </c>
    </row>
    <row r="11" spans="1:8" ht="20.100000000000001" customHeight="1">
      <c r="A11" s="8"/>
      <c r="B11" s="106">
        <f t="array" ref="B11:H11">DaysAndWeeks+DATE(CalendarYear,7,1)-WEEKDAY(DATE(CalendarYear,7,1),(InicioDeSemana="Lunes")+1)+15</f>
        <v>45851</v>
      </c>
      <c r="C11" s="106">
        <v>45852</v>
      </c>
      <c r="D11" s="106">
        <v>45853</v>
      </c>
      <c r="E11" s="106">
        <v>45854</v>
      </c>
      <c r="F11" s="106">
        <v>45855</v>
      </c>
      <c r="G11" s="106">
        <v>45856</v>
      </c>
      <c r="H11" s="106">
        <v>45857</v>
      </c>
    </row>
    <row r="12" spans="1:8" s="8" customFormat="1" ht="20.100000000000001" customHeight="1">
      <c r="B12" s="68" t="s">
        <v>110</v>
      </c>
      <c r="C12" s="68" t="s">
        <v>95</v>
      </c>
      <c r="D12" s="68" t="s">
        <v>47</v>
      </c>
      <c r="E12" s="140" t="s">
        <v>69</v>
      </c>
      <c r="F12" s="79" t="s">
        <v>114</v>
      </c>
      <c r="G12" s="68" t="s">
        <v>87</v>
      </c>
      <c r="H12" s="68" t="s">
        <v>98</v>
      </c>
    </row>
    <row r="13" spans="1:8" s="8" customFormat="1" ht="20.100000000000001" customHeight="1">
      <c r="B13" s="68" t="s">
        <v>66</v>
      </c>
      <c r="C13" s="8" t="s">
        <v>50</v>
      </c>
      <c r="D13" s="68" t="s">
        <v>100</v>
      </c>
      <c r="E13" s="68" t="s">
        <v>107</v>
      </c>
      <c r="F13" s="8" t="s">
        <v>67</v>
      </c>
      <c r="G13" s="68" t="s">
        <v>72</v>
      </c>
      <c r="H13" s="68" t="s">
        <v>21</v>
      </c>
    </row>
    <row r="14" spans="1:8" ht="20.100000000000001" customHeight="1">
      <c r="A14" s="8"/>
      <c r="B14" s="68" t="s">
        <v>90</v>
      </c>
      <c r="C14" s="134" t="s">
        <v>106</v>
      </c>
      <c r="D14" s="69" t="s">
        <v>5</v>
      </c>
      <c r="E14" s="128" t="s">
        <v>92</v>
      </c>
      <c r="F14" s="79" t="s">
        <v>77</v>
      </c>
      <c r="G14" s="128" t="s">
        <v>81</v>
      </c>
      <c r="H14" s="139" t="s">
        <v>31</v>
      </c>
    </row>
    <row r="15" spans="1:8" ht="20.100000000000001" customHeight="1">
      <c r="A15" s="8"/>
      <c r="B15" s="105">
        <f t="array" ref="B15:H15">DaysAndWeeks+DATE(CalendarYear,7,1)-WEEKDAY(DATE(CalendarYear,7,1),(InicioDeSemana="Lunes")+1)+22</f>
        <v>45858</v>
      </c>
      <c r="C15" s="105">
        <v>45859</v>
      </c>
      <c r="D15" s="105">
        <v>45860</v>
      </c>
      <c r="E15" s="105">
        <v>45861</v>
      </c>
      <c r="F15" s="105">
        <v>45862</v>
      </c>
      <c r="G15" s="105">
        <v>45863</v>
      </c>
      <c r="H15" s="105">
        <v>45864</v>
      </c>
    </row>
    <row r="16" spans="1:8" s="8" customFormat="1" ht="20.100000000000001" customHeight="1">
      <c r="B16" s="72" t="s">
        <v>30</v>
      </c>
      <c r="C16" s="134" t="s">
        <v>106</v>
      </c>
      <c r="D16" s="72" t="s">
        <v>40</v>
      </c>
      <c r="E16" s="72" t="s">
        <v>89</v>
      </c>
      <c r="F16" s="72" t="s">
        <v>22</v>
      </c>
      <c r="G16" s="72" t="s">
        <v>61</v>
      </c>
      <c r="H16" s="72" t="s">
        <v>15</v>
      </c>
    </row>
    <row r="17" spans="1:8" s="8" customFormat="1" ht="20.100000000000001" customHeight="1">
      <c r="B17" s="72" t="s">
        <v>90</v>
      </c>
      <c r="C17" s="8" t="s">
        <v>109</v>
      </c>
      <c r="D17" s="95" t="s">
        <v>100</v>
      </c>
      <c r="E17" s="72" t="s">
        <v>34</v>
      </c>
      <c r="F17" s="82" t="s">
        <v>114</v>
      </c>
      <c r="G17" s="72" t="s">
        <v>113</v>
      </c>
      <c r="H17" s="72" t="s">
        <v>83</v>
      </c>
    </row>
    <row r="18" spans="1:8" s="8" customFormat="1" ht="20.100000000000001" customHeight="1">
      <c r="B18" s="72" t="s">
        <v>98</v>
      </c>
      <c r="C18" s="115" t="s">
        <v>50</v>
      </c>
      <c r="D18" s="8" t="s">
        <v>95</v>
      </c>
      <c r="E18" s="94" t="s">
        <v>43</v>
      </c>
      <c r="F18" s="72" t="s">
        <v>8</v>
      </c>
      <c r="G18" s="72" t="s">
        <v>42</v>
      </c>
      <c r="H18" s="72" t="s">
        <v>66</v>
      </c>
    </row>
    <row r="19" spans="1:8" ht="20.100000000000001" customHeight="1">
      <c r="A19" s="8"/>
      <c r="B19" s="106">
        <f t="array" ref="B19:H19">DaysAndWeeks+DATE(CalendarYear,7,1)-WEEKDAY(DATE(CalendarYear,7,1),(InicioDeSemana="Lunes")+1)+29</f>
        <v>45865</v>
      </c>
      <c r="C19" s="106">
        <v>45866</v>
      </c>
      <c r="D19" s="106">
        <v>45867</v>
      </c>
      <c r="E19" s="106">
        <v>45868</v>
      </c>
      <c r="F19" s="106">
        <v>45869</v>
      </c>
      <c r="G19" s="106">
        <v>45870</v>
      </c>
      <c r="H19" s="106">
        <v>45871</v>
      </c>
    </row>
    <row r="20" spans="1:8" s="8" customFormat="1" ht="20.100000000000001" customHeight="1">
      <c r="B20" s="68" t="s">
        <v>81</v>
      </c>
      <c r="C20" s="79" t="s">
        <v>55</v>
      </c>
      <c r="D20" s="68" t="s">
        <v>48</v>
      </c>
      <c r="E20" s="8" t="s">
        <v>78</v>
      </c>
      <c r="F20" s="68" t="s">
        <v>88</v>
      </c>
      <c r="G20" s="68" t="s">
        <v>72</v>
      </c>
      <c r="H20" s="142" t="s">
        <v>31</v>
      </c>
    </row>
    <row r="21" spans="1:8" s="8" customFormat="1" ht="20.100000000000001" customHeight="1">
      <c r="B21" s="68" t="s">
        <v>98</v>
      </c>
      <c r="C21" s="68" t="s">
        <v>77</v>
      </c>
      <c r="D21" s="79" t="s">
        <v>47</v>
      </c>
      <c r="E21" s="120" t="s">
        <v>112</v>
      </c>
      <c r="F21" s="68" t="s">
        <v>89</v>
      </c>
      <c r="G21" s="79" t="s">
        <v>60</v>
      </c>
      <c r="H21" s="68" t="s">
        <v>32</v>
      </c>
    </row>
    <row r="22" spans="1:8" ht="20.100000000000001" customHeight="1">
      <c r="A22" s="8"/>
      <c r="B22" s="69" t="s">
        <v>30</v>
      </c>
      <c r="C22" s="69" t="s">
        <v>95</v>
      </c>
      <c r="D22" s="128" t="s">
        <v>114</v>
      </c>
      <c r="E22" s="128" t="s">
        <v>43</v>
      </c>
      <c r="F22" s="114" t="s">
        <v>67</v>
      </c>
      <c r="G22" s="128" t="s">
        <v>12</v>
      </c>
      <c r="H22" s="69" t="s">
        <v>21</v>
      </c>
    </row>
    <row r="23" spans="1:8" ht="19.5" customHeight="1">
      <c r="A23" s="8"/>
      <c r="B23" s="65">
        <f t="array" ref="B23:C23">DaysAndWeeks+DATE(CalendarYear,7,1)-WEEKDAY(DATE(CalendarYear,7,1),(InicioDeSemana="Lunes")+1)+36</f>
        <v>45872</v>
      </c>
      <c r="C23" s="65">
        <v>45873</v>
      </c>
      <c r="D23" s="87" t="s">
        <v>0</v>
      </c>
      <c r="E23" s="165"/>
      <c r="F23" s="165"/>
      <c r="G23" s="165"/>
      <c r="H23" s="166"/>
    </row>
    <row r="24" spans="1:8" ht="57.95" customHeight="1">
      <c r="A24" s="8"/>
      <c r="B24" s="73" t="s">
        <v>111</v>
      </c>
      <c r="C24" s="66"/>
      <c r="D24" s="63"/>
      <c r="E24" s="167"/>
      <c r="F24" s="167"/>
      <c r="G24" s="167"/>
      <c r="H24" s="168"/>
    </row>
  </sheetData>
  <dataConsolidate/>
  <mergeCells count="1">
    <mergeCell ref="E23:H24"/>
  </mergeCells>
  <conditionalFormatting sqref="B19:H19 B23:C23 B21 F20:G20 B20:D20 D21:H21">
    <cfRule type="expression" dxfId="19" priority="4">
      <formula>AND(DAY(B19)&gt;=1,DAY(B19)&lt;=15)</formula>
    </cfRule>
  </conditionalFormatting>
  <conditionalFormatting sqref="B3:G5">
    <cfRule type="expression" dxfId="18" priority="3">
      <formula>DAY(B3)&gt;8</formula>
    </cfRule>
  </conditionalFormatting>
  <conditionalFormatting sqref="D23">
    <cfRule type="expression" dxfId="17"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El año en esta celda se actualiza automáticamente. Seleccione otro año en la celda K3 de la hoja de cálculo Enero para cambiar el año" sqref="C1"/>
    <dataValidation allowBlank="1" showInputMessage="1" showErrorMessage="1" prompt="Calendario del mes de julio"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theme="8"/>
    <pageSetUpPr fitToPage="1"/>
  </sheetPr>
  <dimension ref="A1:H26"/>
  <sheetViews>
    <sheetView showGridLines="0" zoomScale="50" zoomScaleNormal="50" workbookViewId="0">
      <selection activeCell="D20" sqref="D20"/>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43" t="str">
        <f>"Agosto "&amp;CalendarYear</f>
        <v>Agosto 2025</v>
      </c>
      <c r="C1" s="44"/>
      <c r="D1" s="44"/>
      <c r="E1" s="45"/>
      <c r="F1" s="45"/>
      <c r="G1" s="45"/>
      <c r="H1" s="46"/>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43">
        <f t="array" ref="B3:H3">DaysAndWeeks+DATE(CalendarYear,8,1)-WEEKDAY(DATE(CalendarYear,8,1),(InicioDeSemana="Lunes")+1)+1</f>
        <v>45865</v>
      </c>
      <c r="C3" s="143">
        <v>45866</v>
      </c>
      <c r="D3" s="143">
        <v>45867</v>
      </c>
      <c r="E3" s="143">
        <v>45868</v>
      </c>
      <c r="F3" s="143">
        <v>45869</v>
      </c>
      <c r="G3" s="143">
        <v>45870</v>
      </c>
      <c r="H3" s="143">
        <v>45871</v>
      </c>
    </row>
    <row r="4" spans="1:8" s="8" customFormat="1" ht="20.100000000000001" customHeight="1">
      <c r="B4" s="68" t="s">
        <v>81</v>
      </c>
      <c r="C4" s="68" t="s">
        <v>55</v>
      </c>
      <c r="D4" s="68" t="s">
        <v>48</v>
      </c>
      <c r="E4" s="68" t="s">
        <v>78</v>
      </c>
      <c r="F4" s="68" t="s">
        <v>88</v>
      </c>
      <c r="G4" s="68" t="s">
        <v>72</v>
      </c>
      <c r="H4" s="68" t="s">
        <v>60</v>
      </c>
    </row>
    <row r="5" spans="1:8" s="8" customFormat="1" ht="20.100000000000001" customHeight="1">
      <c r="B5" s="68" t="s">
        <v>98</v>
      </c>
      <c r="C5" s="68" t="s">
        <v>77</v>
      </c>
      <c r="D5" s="68" t="s">
        <v>47</v>
      </c>
      <c r="E5" s="68" t="s">
        <v>112</v>
      </c>
      <c r="F5" s="68" t="s">
        <v>89</v>
      </c>
      <c r="G5" s="68" t="s">
        <v>60</v>
      </c>
      <c r="H5" s="68" t="s">
        <v>83</v>
      </c>
    </row>
    <row r="6" spans="1:8" ht="20.100000000000001" customHeight="1">
      <c r="A6" s="8"/>
      <c r="B6" s="69" t="s">
        <v>30</v>
      </c>
      <c r="C6" s="69" t="s">
        <v>95</v>
      </c>
      <c r="D6" s="69" t="s">
        <v>114</v>
      </c>
      <c r="E6" s="69" t="s">
        <v>43</v>
      </c>
      <c r="F6" s="69" t="s">
        <v>67</v>
      </c>
      <c r="G6" s="69" t="s">
        <v>12</v>
      </c>
      <c r="H6" s="69" t="s">
        <v>56</v>
      </c>
    </row>
    <row r="7" spans="1:8" ht="20.100000000000001" customHeight="1">
      <c r="A7" s="8"/>
      <c r="B7" s="144">
        <f t="array" ref="B7:H7">DaysAndWeeks+DATE(CalendarYear,8,1)-WEEKDAY(DATE(CalendarYear,8,1),(InicioDeSemana="Lunes")+1)+8</f>
        <v>45872</v>
      </c>
      <c r="C7" s="144">
        <v>45873</v>
      </c>
      <c r="D7" s="144">
        <v>45874</v>
      </c>
      <c r="E7" s="144">
        <v>45875</v>
      </c>
      <c r="F7" s="144">
        <v>45876</v>
      </c>
      <c r="G7" s="144">
        <v>45877</v>
      </c>
      <c r="H7" s="144">
        <v>45878</v>
      </c>
    </row>
    <row r="8" spans="1:8" s="8" customFormat="1" ht="20.100000000000001" customHeight="1">
      <c r="B8" s="72" t="s">
        <v>116</v>
      </c>
      <c r="C8" s="72" t="s">
        <v>106</v>
      </c>
      <c r="D8" s="72" t="s">
        <v>100</v>
      </c>
      <c r="E8" s="72" t="s">
        <v>89</v>
      </c>
      <c r="F8" s="82" t="s">
        <v>69</v>
      </c>
      <c r="G8" s="72" t="s">
        <v>87</v>
      </c>
      <c r="H8" s="72" t="s">
        <v>15</v>
      </c>
    </row>
    <row r="9" spans="1:8" s="8" customFormat="1" ht="20.100000000000001" customHeight="1">
      <c r="B9" s="72" t="s">
        <v>117</v>
      </c>
      <c r="C9" s="72" t="s">
        <v>77</v>
      </c>
      <c r="D9" s="72" t="s">
        <v>92</v>
      </c>
      <c r="E9" s="72" t="s">
        <v>34</v>
      </c>
      <c r="F9" s="72" t="s">
        <v>5</v>
      </c>
      <c r="G9" s="72" t="s">
        <v>42</v>
      </c>
      <c r="H9" s="72" t="s">
        <v>103</v>
      </c>
    </row>
    <row r="10" spans="1:8" ht="20.100000000000001" customHeight="1">
      <c r="A10" s="8"/>
      <c r="B10" s="73" t="s">
        <v>115</v>
      </c>
      <c r="C10" s="73" t="s">
        <v>50</v>
      </c>
      <c r="D10" s="73" t="s">
        <v>47</v>
      </c>
      <c r="E10" s="73" t="s">
        <v>68</v>
      </c>
      <c r="F10" s="73" t="s">
        <v>52</v>
      </c>
      <c r="G10" s="69" t="s">
        <v>31</v>
      </c>
      <c r="H10" s="73" t="s">
        <v>32</v>
      </c>
    </row>
    <row r="11" spans="1:8" ht="20.100000000000001" customHeight="1">
      <c r="A11" s="8"/>
      <c r="B11" s="143">
        <f t="array" ref="B11:H11">DaysAndWeeks+DATE(CalendarYear,8,1)-WEEKDAY(DATE(CalendarYear,8,1),(InicioDeSemana="Lunes")+1)+15</f>
        <v>45879</v>
      </c>
      <c r="C11" s="143">
        <v>45880</v>
      </c>
      <c r="D11" s="143">
        <v>45881</v>
      </c>
      <c r="E11" s="143">
        <v>45882</v>
      </c>
      <c r="F11" s="143">
        <v>45883</v>
      </c>
      <c r="G11" s="143">
        <v>45884</v>
      </c>
      <c r="H11" s="143">
        <v>45885</v>
      </c>
    </row>
    <row r="12" spans="1:8" s="8" customFormat="1" ht="20.100000000000001" customHeight="1">
      <c r="B12" s="68" t="s">
        <v>30</v>
      </c>
      <c r="C12" s="68" t="s">
        <v>44</v>
      </c>
      <c r="D12" s="8" t="s">
        <v>40</v>
      </c>
      <c r="E12" s="79" t="s">
        <v>42</v>
      </c>
      <c r="F12" s="68" t="s">
        <v>53</v>
      </c>
      <c r="G12" s="8" t="s">
        <v>12</v>
      </c>
      <c r="H12" s="68" t="s">
        <v>83</v>
      </c>
    </row>
    <row r="13" spans="1:8" s="8" customFormat="1" ht="20.100000000000001" customHeight="1">
      <c r="B13" s="68" t="s">
        <v>98</v>
      </c>
      <c r="C13" s="68" t="s">
        <v>43</v>
      </c>
      <c r="D13" s="68" t="s">
        <v>35</v>
      </c>
      <c r="E13" s="68" t="s">
        <v>100</v>
      </c>
      <c r="F13" s="68" t="s">
        <v>67</v>
      </c>
      <c r="G13" s="68" t="s">
        <v>57</v>
      </c>
      <c r="H13" s="68" t="s">
        <v>73</v>
      </c>
    </row>
    <row r="14" spans="1:8" ht="20.100000000000001" customHeight="1">
      <c r="A14" s="8"/>
      <c r="B14" t="s">
        <v>90</v>
      </c>
      <c r="C14" s="69" t="s">
        <v>95</v>
      </c>
      <c r="D14" s="69" t="s">
        <v>39</v>
      </c>
      <c r="E14" s="128" t="s">
        <v>5</v>
      </c>
      <c r="F14" s="69" t="s">
        <v>8</v>
      </c>
      <c r="G14" s="93" t="s">
        <v>31</v>
      </c>
      <c r="H14" s="69" t="s">
        <v>92</v>
      </c>
    </row>
    <row r="15" spans="1:8" ht="20.100000000000001" customHeight="1">
      <c r="A15" s="8"/>
      <c r="B15" s="144">
        <f t="array" ref="B15:H15">DaysAndWeeks+DATE(CalendarYear,8,1)-WEEKDAY(DATE(CalendarYear,8,1),(InicioDeSemana="Lunes")+1)+22</f>
        <v>45886</v>
      </c>
      <c r="C15" s="144">
        <v>45887</v>
      </c>
      <c r="D15" s="144">
        <v>45888</v>
      </c>
      <c r="E15" s="144">
        <v>45889</v>
      </c>
      <c r="F15" s="144">
        <v>45890</v>
      </c>
      <c r="G15" s="144">
        <v>45891</v>
      </c>
      <c r="H15" s="144">
        <v>45892</v>
      </c>
    </row>
    <row r="16" spans="1:8" s="8" customFormat="1" ht="20.100000000000001" customHeight="1">
      <c r="B16" s="68" t="s">
        <v>113</v>
      </c>
      <c r="C16" s="82" t="s">
        <v>114</v>
      </c>
      <c r="D16" s="8" t="s">
        <v>47</v>
      </c>
      <c r="E16" s="72" t="s">
        <v>55</v>
      </c>
      <c r="F16" s="72" t="s">
        <v>77</v>
      </c>
      <c r="G16" s="68" t="s">
        <v>48</v>
      </c>
      <c r="H16" s="114" t="s">
        <v>31</v>
      </c>
    </row>
    <row r="17" spans="1:8" s="8" customFormat="1" ht="20.100000000000001" customHeight="1">
      <c r="B17" s="72" t="s">
        <v>115</v>
      </c>
      <c r="C17" s="147" t="s">
        <v>42</v>
      </c>
      <c r="D17" s="72" t="s">
        <v>60</v>
      </c>
      <c r="E17" s="72" t="s">
        <v>72</v>
      </c>
      <c r="F17" s="72" t="s">
        <v>107</v>
      </c>
      <c r="G17" s="82" t="s">
        <v>89</v>
      </c>
      <c r="H17" s="72" t="s">
        <v>118</v>
      </c>
    </row>
    <row r="18" spans="1:8" ht="20.100000000000001" customHeight="1">
      <c r="A18" s="8"/>
      <c r="B18" s="73" t="s">
        <v>118</v>
      </c>
      <c r="C18" s="81" t="s">
        <v>50</v>
      </c>
      <c r="D18" s="68" t="s">
        <v>57</v>
      </c>
      <c r="E18" s="81" t="s">
        <v>69</v>
      </c>
      <c r="F18" s="73" t="s">
        <v>68</v>
      </c>
      <c r="G18" s="97" t="s">
        <v>106</v>
      </c>
      <c r="H18" s="73" t="s">
        <v>90</v>
      </c>
    </row>
    <row r="19" spans="1:8" ht="20.100000000000001" customHeight="1">
      <c r="A19" s="8"/>
      <c r="B19" s="143">
        <f t="array" ref="B19:H19">DaysAndWeeks+DATE(CalendarYear,8,1)-WEEKDAY(DATE(CalendarYear,8,1),(InicioDeSemana="Lunes")+1)+29</f>
        <v>45893</v>
      </c>
      <c r="C19" s="143">
        <v>45894</v>
      </c>
      <c r="D19" s="143">
        <v>45895</v>
      </c>
      <c r="E19" s="143">
        <v>45896</v>
      </c>
      <c r="F19" s="143">
        <v>45897</v>
      </c>
      <c r="G19" s="143">
        <v>45898</v>
      </c>
      <c r="H19" s="143">
        <v>45899</v>
      </c>
    </row>
    <row r="20" spans="1:8" s="8" customFormat="1" ht="20.100000000000001" customHeight="1">
      <c r="B20" s="73" t="s">
        <v>5</v>
      </c>
      <c r="C20" s="68" t="s">
        <v>95</v>
      </c>
      <c r="D20" s="68" t="s">
        <v>22</v>
      </c>
      <c r="E20" s="68" t="s">
        <v>43</v>
      </c>
      <c r="F20" s="68" t="s">
        <v>88</v>
      </c>
      <c r="G20" s="68" t="s">
        <v>61</v>
      </c>
      <c r="H20" s="68" t="s">
        <v>89</v>
      </c>
    </row>
    <row r="21" spans="1:8" s="8" customFormat="1" ht="20.100000000000001" customHeight="1">
      <c r="B21" s="68" t="s">
        <v>103</v>
      </c>
      <c r="C21" s="68" t="s">
        <v>55</v>
      </c>
      <c r="D21" s="68" t="s">
        <v>48</v>
      </c>
      <c r="E21" s="73" t="s">
        <v>50</v>
      </c>
      <c r="F21" s="68" t="s">
        <v>67</v>
      </c>
      <c r="G21" s="81" t="s">
        <v>107</v>
      </c>
      <c r="H21" s="68" t="s">
        <v>66</v>
      </c>
    </row>
    <row r="22" spans="1:8" ht="20.100000000000001" customHeight="1">
      <c r="A22" s="8"/>
      <c r="B22" s="69" t="s">
        <v>30</v>
      </c>
      <c r="C22" t="s">
        <v>114</v>
      </c>
      <c r="D22" s="93" t="s">
        <v>27</v>
      </c>
      <c r="E22" s="82" t="s">
        <v>106</v>
      </c>
      <c r="F22" s="69" t="s">
        <v>69</v>
      </c>
      <c r="G22" s="69" t="s">
        <v>8</v>
      </c>
      <c r="H22" s="69" t="s">
        <v>15</v>
      </c>
    </row>
    <row r="23" spans="1:8" ht="20.100000000000001" customHeight="1">
      <c r="A23" s="8"/>
      <c r="B23" s="145">
        <f t="array" ref="B23:C23">DaysAndWeeks+DATE(CalendarYear,8,1)-WEEKDAY(DATE(CalendarYear,8,1),(InicioDeSemana="Lunes")+1)+36</f>
        <v>45900</v>
      </c>
      <c r="C23" s="145">
        <v>45901</v>
      </c>
      <c r="D23" s="87" t="s">
        <v>0</v>
      </c>
      <c r="E23" s="165"/>
      <c r="F23" s="165"/>
      <c r="G23" s="165"/>
      <c r="H23" s="166"/>
    </row>
    <row r="24" spans="1:8" s="8" customFormat="1" ht="20.100000000000001" customHeight="1">
      <c r="B24" s="72" t="s">
        <v>60</v>
      </c>
      <c r="C24" s="72" t="s">
        <v>47</v>
      </c>
      <c r="D24" s="77"/>
      <c r="E24" s="165"/>
      <c r="F24" s="165"/>
      <c r="G24" s="165"/>
      <c r="H24" s="166"/>
    </row>
    <row r="25" spans="1:8" s="8" customFormat="1" ht="20.100000000000001" customHeight="1">
      <c r="B25" s="72" t="s">
        <v>98</v>
      </c>
      <c r="C25" s="93" t="s">
        <v>72</v>
      </c>
      <c r="D25" s="77"/>
      <c r="E25" s="165"/>
      <c r="F25" s="165"/>
      <c r="G25" s="165"/>
      <c r="H25" s="166"/>
    </row>
    <row r="26" spans="1:8" ht="20.100000000000001" customHeight="1">
      <c r="A26" s="8"/>
      <c r="B26" s="146" t="s">
        <v>26</v>
      </c>
      <c r="C26" s="115" t="s">
        <v>77</v>
      </c>
      <c r="D26" s="78"/>
      <c r="E26" s="167"/>
      <c r="F26" s="167"/>
      <c r="G26" s="167"/>
      <c r="H26" s="168"/>
    </row>
  </sheetData>
  <mergeCells count="1">
    <mergeCell ref="E23:H26"/>
  </mergeCells>
  <conditionalFormatting sqref="B21:D21 F21 B19:H19 C20:H20 B16 H21 B23:C24 B25 E22">
    <cfRule type="expression" dxfId="16" priority="4">
      <formula>AND(DAY(B16)&gt;=1,DAY(B16)&lt;=15)</formula>
    </cfRule>
  </conditionalFormatting>
  <conditionalFormatting sqref="B3:G5">
    <cfRule type="expression" dxfId="15" priority="3">
      <formula>DAY(B3)&gt;8</formula>
    </cfRule>
  </conditionalFormatting>
  <conditionalFormatting sqref="D23:D25">
    <cfRule type="expression" dxfId="14"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agosto" sqref="A1"/>
    <dataValidation allowBlank="1" showInputMessage="1" showErrorMessage="1" prompt="Escriba notas en la celda a la derecha." sqref="D23:D26"/>
    <dataValidation allowBlank="1" showInputMessage="1" showErrorMessage="1" prompt="Escriba notas en esta celda." sqref="E23:H26"/>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8" tint="-0.249977111117893"/>
    <pageSetUpPr fitToPage="1"/>
  </sheetPr>
  <dimension ref="A1:H24"/>
  <sheetViews>
    <sheetView showGridLines="0" topLeftCell="A2" zoomScale="50" zoomScaleNormal="50" workbookViewId="0">
      <selection activeCell="B21" sqref="B21"/>
    </sheetView>
  </sheetViews>
  <sheetFormatPr baseColWidth="10" defaultColWidth="8.88671875" defaultRowHeight="14.25"/>
  <cols>
    <col min="1" max="1" width="2.77734375" customWidth="1"/>
    <col min="2" max="8" width="40.77734375" customWidth="1"/>
    <col min="9" max="9" width="2.77734375" customWidth="1"/>
    <col min="10" max="10" width="10.6640625" customWidth="1"/>
  </cols>
  <sheetData>
    <row r="1" spans="1:8" ht="59.25" customHeight="1">
      <c r="A1" s="8"/>
      <c r="B1" s="47" t="str">
        <f>"Septiembre "&amp;CalendarYear</f>
        <v>Septiembre 2025</v>
      </c>
      <c r="C1" s="48"/>
      <c r="D1" s="48"/>
      <c r="E1" s="49"/>
      <c r="F1" s="49"/>
      <c r="G1" s="49"/>
      <c r="H1" s="50"/>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31">
        <f t="array" ref="B3:H3">DaysAndWeeks+DATE(CalendarYear,9,1)-WEEKDAY(DATE(CalendarYear,9,1),(InicioDeSemana="Lunes")+1)+1</f>
        <v>45900</v>
      </c>
      <c r="C3" s="131">
        <v>45901</v>
      </c>
      <c r="D3" s="131">
        <v>45902</v>
      </c>
      <c r="E3" s="131">
        <v>45903</v>
      </c>
      <c r="F3" s="131">
        <v>45904</v>
      </c>
      <c r="G3" s="131">
        <v>45905</v>
      </c>
      <c r="H3" s="131">
        <v>45906</v>
      </c>
    </row>
    <row r="4" spans="1:8" s="8" customFormat="1" ht="20.100000000000001" customHeight="1">
      <c r="B4" s="68" t="s">
        <v>113</v>
      </c>
      <c r="C4" s="8" t="s">
        <v>95</v>
      </c>
      <c r="D4" s="68" t="s">
        <v>100</v>
      </c>
      <c r="E4" s="92" t="s">
        <v>40</v>
      </c>
      <c r="F4" s="68" t="s">
        <v>53</v>
      </c>
      <c r="G4" s="68" t="s">
        <v>87</v>
      </c>
      <c r="H4" s="68" t="s">
        <v>119</v>
      </c>
    </row>
    <row r="5" spans="1:8" s="8" customFormat="1" ht="20.100000000000001" customHeight="1">
      <c r="B5" s="68" t="s">
        <v>98</v>
      </c>
      <c r="C5" s="69" t="s">
        <v>77</v>
      </c>
      <c r="D5" s="73" t="s">
        <v>57</v>
      </c>
      <c r="E5" s="68" t="s">
        <v>34</v>
      </c>
      <c r="F5" s="68" t="s">
        <v>89</v>
      </c>
      <c r="G5" s="68" t="s">
        <v>113</v>
      </c>
      <c r="H5" s="68" t="s">
        <v>66</v>
      </c>
    </row>
    <row r="6" spans="1:8" ht="20.100000000000001" customHeight="1">
      <c r="A6" s="8"/>
      <c r="B6" s="69" t="s">
        <v>26</v>
      </c>
      <c r="C6" s="93" t="s">
        <v>72</v>
      </c>
      <c r="D6" s="69" t="s">
        <v>50</v>
      </c>
      <c r="E6" s="69" t="s">
        <v>103</v>
      </c>
      <c r="F6" s="69" t="s">
        <v>68</v>
      </c>
      <c r="G6" s="69" t="s">
        <v>106</v>
      </c>
      <c r="H6" s="69" t="s">
        <v>15</v>
      </c>
    </row>
    <row r="7" spans="1:8" ht="20.100000000000001" customHeight="1">
      <c r="A7" s="8"/>
      <c r="B7" s="130">
        <f t="array" ref="B7:H7">DaysAndWeeks+DATE(CalendarYear,9,1)-WEEKDAY(DATE(CalendarYear,9,1),(InicioDeSemana="Lunes")+1)+8</f>
        <v>45907</v>
      </c>
      <c r="C7" s="130">
        <v>45908</v>
      </c>
      <c r="D7" s="130">
        <v>45909</v>
      </c>
      <c r="E7" s="130">
        <v>45910</v>
      </c>
      <c r="F7" s="130">
        <v>45911</v>
      </c>
      <c r="G7" s="130">
        <v>45912</v>
      </c>
      <c r="H7" s="130">
        <v>45913</v>
      </c>
    </row>
    <row r="8" spans="1:8" s="8" customFormat="1" ht="20.100000000000001" customHeight="1">
      <c r="B8" s="72" t="s">
        <v>30</v>
      </c>
      <c r="C8" s="72" t="s">
        <v>44</v>
      </c>
      <c r="D8" s="72" t="s">
        <v>48</v>
      </c>
      <c r="E8" s="72" t="s">
        <v>69</v>
      </c>
      <c r="F8" s="8" t="s">
        <v>8</v>
      </c>
      <c r="G8" s="92" t="s">
        <v>31</v>
      </c>
      <c r="H8" s="72" t="s">
        <v>121</v>
      </c>
    </row>
    <row r="9" spans="1:8" s="8" customFormat="1" ht="20.100000000000001" customHeight="1">
      <c r="B9" s="69" t="s">
        <v>122</v>
      </c>
      <c r="C9" s="8" t="s">
        <v>47</v>
      </c>
      <c r="D9" s="72" t="s">
        <v>100</v>
      </c>
      <c r="E9" s="8" t="s">
        <v>114</v>
      </c>
      <c r="F9" s="72" t="s">
        <v>67</v>
      </c>
      <c r="G9" s="72" t="s">
        <v>42</v>
      </c>
      <c r="H9" s="72" t="s">
        <v>90</v>
      </c>
    </row>
    <row r="10" spans="1:8" ht="20.100000000000001" customHeight="1">
      <c r="A10" s="8"/>
      <c r="B10" s="72" t="s">
        <v>121</v>
      </c>
      <c r="C10" s="120" t="s">
        <v>77</v>
      </c>
      <c r="D10" t="s">
        <v>103</v>
      </c>
      <c r="E10" s="69" t="s">
        <v>68</v>
      </c>
      <c r="F10" s="73" t="s">
        <v>32</v>
      </c>
      <c r="G10" s="73" t="s">
        <v>73</v>
      </c>
      <c r="H10" s="73" t="s">
        <v>120</v>
      </c>
    </row>
    <row r="11" spans="1:8" ht="20.100000000000001" customHeight="1">
      <c r="A11" s="8"/>
      <c r="B11" s="131">
        <f t="array" ref="B11:H11">DaysAndWeeks+DATE(CalendarYear,9,1)-WEEKDAY(DATE(CalendarYear,9,1),(InicioDeSemana="Lunes")+1)+15</f>
        <v>45914</v>
      </c>
      <c r="C11" s="131">
        <v>45915</v>
      </c>
      <c r="D11" s="131">
        <v>45916</v>
      </c>
      <c r="E11" s="131">
        <v>45917</v>
      </c>
      <c r="F11" s="131">
        <v>45918</v>
      </c>
      <c r="G11" s="131">
        <v>45919</v>
      </c>
      <c r="H11" s="131">
        <v>45920</v>
      </c>
    </row>
    <row r="12" spans="1:8" s="8" customFormat="1" ht="20.100000000000001" customHeight="1">
      <c r="B12" s="68" t="s">
        <v>60</v>
      </c>
      <c r="C12" s="8" t="s">
        <v>106</v>
      </c>
      <c r="D12" s="68" t="s">
        <v>5</v>
      </c>
      <c r="E12" s="72" t="s">
        <v>43</v>
      </c>
      <c r="F12" s="68" t="s">
        <v>88</v>
      </c>
      <c r="G12" s="8" t="s">
        <v>8</v>
      </c>
      <c r="H12" s="68" t="s">
        <v>91</v>
      </c>
    </row>
    <row r="13" spans="1:8" s="8" customFormat="1" ht="20.100000000000001" customHeight="1">
      <c r="B13" s="68" t="s">
        <v>32</v>
      </c>
      <c r="C13" s="68" t="s">
        <v>50</v>
      </c>
      <c r="D13" s="68" t="s">
        <v>47</v>
      </c>
      <c r="E13" s="68" t="s">
        <v>73</v>
      </c>
      <c r="F13" s="73" t="s">
        <v>72</v>
      </c>
      <c r="G13" s="68" t="s">
        <v>107</v>
      </c>
      <c r="H13" s="68" t="s">
        <v>120</v>
      </c>
    </row>
    <row r="14" spans="1:8" ht="20.100000000000001" customHeight="1">
      <c r="A14" s="8"/>
      <c r="B14" s="69" t="s">
        <v>123</v>
      </c>
      <c r="C14" s="79" t="s">
        <v>42</v>
      </c>
      <c r="D14" s="128" t="s">
        <v>100</v>
      </c>
      <c r="E14" s="72" t="s">
        <v>69</v>
      </c>
      <c r="F14" s="69" t="s">
        <v>114</v>
      </c>
      <c r="G14" s="79" t="s">
        <v>12</v>
      </c>
      <c r="H14" s="69" t="s">
        <v>71</v>
      </c>
    </row>
    <row r="15" spans="1:8" ht="20.100000000000001" customHeight="1">
      <c r="A15" s="8"/>
      <c r="B15" s="130">
        <f t="array" ref="B15:H15">DaysAndWeeks+DATE(CalendarYear,9,1)-WEEKDAY(DATE(CalendarYear,9,1),(InicioDeSemana="Lunes")+1)+22</f>
        <v>45921</v>
      </c>
      <c r="C15" s="130">
        <v>45922</v>
      </c>
      <c r="D15" s="130">
        <v>45923</v>
      </c>
      <c r="E15" s="130">
        <v>45924</v>
      </c>
      <c r="F15" s="130">
        <v>45925</v>
      </c>
      <c r="G15" s="130">
        <v>45926</v>
      </c>
      <c r="H15" s="130">
        <v>45927</v>
      </c>
    </row>
    <row r="16" spans="1:8" s="8" customFormat="1" ht="20.100000000000001" customHeight="1">
      <c r="B16" s="115" t="s">
        <v>5</v>
      </c>
      <c r="C16" s="72" t="s">
        <v>42</v>
      </c>
      <c r="D16" s="72" t="s">
        <v>72</v>
      </c>
      <c r="E16" s="72" t="s">
        <v>78</v>
      </c>
      <c r="F16" s="72" t="s">
        <v>22</v>
      </c>
      <c r="G16" s="72" t="s">
        <v>33</v>
      </c>
      <c r="H16" s="72" t="s">
        <v>15</v>
      </c>
    </row>
    <row r="17" spans="1:8" s="8" customFormat="1" ht="20.100000000000001" customHeight="1">
      <c r="B17" s="72" t="s">
        <v>30</v>
      </c>
      <c r="C17" s="94" t="s">
        <v>124</v>
      </c>
      <c r="D17" s="72" t="s">
        <v>57</v>
      </c>
      <c r="E17" s="72" t="s">
        <v>69</v>
      </c>
      <c r="F17" s="72" t="s">
        <v>67</v>
      </c>
      <c r="G17" s="94" t="s">
        <v>31</v>
      </c>
      <c r="H17" s="72" t="s">
        <v>123</v>
      </c>
    </row>
    <row r="18" spans="1:8" ht="20.100000000000001" customHeight="1">
      <c r="A18" s="8"/>
      <c r="B18" s="73" t="s">
        <v>90</v>
      </c>
      <c r="C18" s="73" t="s">
        <v>114</v>
      </c>
      <c r="D18" s="73" t="s">
        <v>50</v>
      </c>
      <c r="E18" s="95" t="s">
        <v>107</v>
      </c>
      <c r="F18" s="73" t="s">
        <v>5</v>
      </c>
      <c r="G18" s="73" t="s">
        <v>48</v>
      </c>
      <c r="H18" s="73" t="s">
        <v>91</v>
      </c>
    </row>
    <row r="19" spans="1:8" ht="20.100000000000001" customHeight="1">
      <c r="A19" s="8"/>
      <c r="B19" s="131">
        <f t="array" ref="B19:H19">DaysAndWeeks+DATE(CalendarYear,9,1)-WEEKDAY(DATE(CalendarYear,9,1),(InicioDeSemana="Lunes")+1)+29</f>
        <v>45928</v>
      </c>
      <c r="C19" s="131">
        <v>45929</v>
      </c>
      <c r="D19" s="131">
        <v>45930</v>
      </c>
      <c r="E19" s="131">
        <v>45931</v>
      </c>
      <c r="F19" s="131">
        <v>45932</v>
      </c>
      <c r="G19" s="131">
        <v>45933</v>
      </c>
      <c r="H19" s="131">
        <v>45934</v>
      </c>
    </row>
    <row r="20" spans="1:8" s="8" customFormat="1" ht="20.100000000000001" customHeight="1">
      <c r="B20" s="68" t="s">
        <v>89</v>
      </c>
      <c r="C20" s="8" t="s">
        <v>77</v>
      </c>
      <c r="D20" s="68" t="s">
        <v>95</v>
      </c>
      <c r="E20" s="97" t="s">
        <v>100</v>
      </c>
      <c r="F20" s="68" t="s">
        <v>8</v>
      </c>
      <c r="G20" s="68" t="s">
        <v>12</v>
      </c>
      <c r="H20" s="68" t="s">
        <v>37</v>
      </c>
    </row>
    <row r="21" spans="1:8" s="8" customFormat="1" ht="20.100000000000001" customHeight="1">
      <c r="B21" s="68" t="s">
        <v>121</v>
      </c>
      <c r="C21" s="151" t="s">
        <v>43</v>
      </c>
      <c r="D21" s="68" t="s">
        <v>60</v>
      </c>
      <c r="E21" s="68" t="s">
        <v>78</v>
      </c>
      <c r="F21" s="120" t="s">
        <v>5</v>
      </c>
      <c r="G21" s="68" t="s">
        <v>114</v>
      </c>
      <c r="H21" s="68" t="s">
        <v>71</v>
      </c>
    </row>
    <row r="22" spans="1:8" ht="20.100000000000001" customHeight="1">
      <c r="A22" s="8"/>
      <c r="B22" s="69" t="s">
        <v>122</v>
      </c>
      <c r="C22" s="72" t="s">
        <v>107</v>
      </c>
      <c r="D22" s="139" t="s">
        <v>47</v>
      </c>
      <c r="E22" s="128" t="s">
        <v>58</v>
      </c>
      <c r="F22" s="69" t="s">
        <v>68</v>
      </c>
      <c r="G22" s="69" t="s">
        <v>31</v>
      </c>
      <c r="H22" s="69" t="s">
        <v>91</v>
      </c>
    </row>
    <row r="23" spans="1:8" ht="19.5" customHeight="1">
      <c r="A23" s="8"/>
      <c r="B23" s="65">
        <f t="array" ref="B23:C23">DaysAndWeeks+DATE(CalendarYear,9,1)-WEEKDAY(DATE(CalendarYear,9,1),(InicioDeSemana="Lunes")+1)+36</f>
        <v>45935</v>
      </c>
      <c r="C23" s="65">
        <v>45936</v>
      </c>
      <c r="D23" s="87" t="s">
        <v>0</v>
      </c>
      <c r="E23" s="165"/>
      <c r="F23" s="165"/>
      <c r="G23" s="165"/>
      <c r="H23" s="166"/>
    </row>
    <row r="24" spans="1:8" ht="57.95" customHeight="1">
      <c r="A24" s="8"/>
      <c r="B24" s="66"/>
      <c r="C24" s="66"/>
      <c r="D24" s="63"/>
      <c r="E24" s="167"/>
      <c r="F24" s="167"/>
      <c r="G24" s="167"/>
      <c r="H24" s="168"/>
    </row>
  </sheetData>
  <mergeCells count="1">
    <mergeCell ref="E23:H24"/>
  </mergeCells>
  <conditionalFormatting sqref="B19:H19 B23:C23 B20:B21 C10 F20:G20 E21:H21 D20">
    <cfRule type="expression" dxfId="13" priority="4">
      <formula>AND(DAY(B10)&gt;=1,DAY(B10)&lt;=15)</formula>
    </cfRule>
  </conditionalFormatting>
  <conditionalFormatting sqref="B3:G3 B4:B5 F4:G4 E5:G5 D4">
    <cfRule type="expression" dxfId="12" priority="3">
      <formula>DAY(B3)&gt;8</formula>
    </cfRule>
  </conditionalFormatting>
  <conditionalFormatting sqref="D23">
    <cfRule type="expression" dxfId="11"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septiembre"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theme="9" tint="-0.249977111117893"/>
    <pageSetUpPr fitToPage="1"/>
  </sheetPr>
  <dimension ref="A1:H24"/>
  <sheetViews>
    <sheetView showGridLines="0" topLeftCell="B1" zoomScale="50" zoomScaleNormal="50" workbookViewId="0">
      <selection activeCell="H17" sqref="H17"/>
    </sheetView>
  </sheetViews>
  <sheetFormatPr baseColWidth="10" defaultColWidth="8.88671875" defaultRowHeight="14.25"/>
  <cols>
    <col min="1" max="1" width="2.77734375" customWidth="1"/>
    <col min="2" max="8" width="40.77734375" customWidth="1"/>
    <col min="9" max="9" width="2.77734375" customWidth="1"/>
  </cols>
  <sheetData>
    <row r="1" spans="1:8" ht="59.25" customHeight="1">
      <c r="A1" s="8"/>
      <c r="B1" s="62" t="str">
        <f>"Octubre "&amp;CalendarYear</f>
        <v>Octubre 2025</v>
      </c>
      <c r="C1" s="54"/>
      <c r="D1" s="54"/>
      <c r="E1" s="55"/>
      <c r="F1" s="55"/>
      <c r="G1" s="55"/>
      <c r="H1" s="56"/>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31">
        <f t="array" ref="B3:H3">DaysAndWeeks+DATE(CalendarYear,10,1)-WEEKDAY(DATE(CalendarYear,10,1),(InicioDeSemana="Lunes")+1)+1</f>
        <v>45928</v>
      </c>
      <c r="C3" s="131">
        <v>45929</v>
      </c>
      <c r="D3" s="131">
        <v>45930</v>
      </c>
      <c r="E3" s="131">
        <v>45931</v>
      </c>
      <c r="F3" s="131">
        <v>45932</v>
      </c>
      <c r="G3" s="131">
        <v>45933</v>
      </c>
      <c r="H3" s="131">
        <v>45934</v>
      </c>
    </row>
    <row r="4" spans="1:8" s="8" customFormat="1" ht="20.100000000000001" customHeight="1">
      <c r="B4" s="68" t="s">
        <v>89</v>
      </c>
      <c r="C4" s="68" t="s">
        <v>77</v>
      </c>
      <c r="D4" s="68" t="s">
        <v>95</v>
      </c>
      <c r="E4" s="97" t="s">
        <v>100</v>
      </c>
      <c r="F4" s="68" t="s">
        <v>8</v>
      </c>
      <c r="G4" s="68" t="s">
        <v>114</v>
      </c>
      <c r="H4" s="68" t="s">
        <v>37</v>
      </c>
    </row>
    <row r="5" spans="1:8" s="8" customFormat="1" ht="20.100000000000001" customHeight="1">
      <c r="B5" s="68" t="s">
        <v>121</v>
      </c>
      <c r="C5" s="68" t="s">
        <v>43</v>
      </c>
      <c r="D5" s="68" t="s">
        <v>60</v>
      </c>
      <c r="E5" s="68" t="s">
        <v>78</v>
      </c>
      <c r="F5" s="68" t="s">
        <v>5</v>
      </c>
      <c r="G5" s="68" t="s">
        <v>12</v>
      </c>
      <c r="H5" s="68" t="s">
        <v>71</v>
      </c>
    </row>
    <row r="6" spans="1:8" ht="20.100000000000001" customHeight="1">
      <c r="A6" s="8"/>
      <c r="B6" s="69" t="s">
        <v>122</v>
      </c>
      <c r="C6" s="69" t="s">
        <v>107</v>
      </c>
      <c r="D6" s="69" t="s">
        <v>47</v>
      </c>
      <c r="E6" s="69" t="s">
        <v>58</v>
      </c>
      <c r="F6" s="69" t="s">
        <v>68</v>
      </c>
      <c r="G6" s="69" t="s">
        <v>31</v>
      </c>
      <c r="H6" s="69" t="s">
        <v>91</v>
      </c>
    </row>
    <row r="7" spans="1:8" ht="20.100000000000001" customHeight="1">
      <c r="A7" s="8"/>
      <c r="B7" s="130">
        <f t="array" ref="B7:H7">DaysAndWeeks+DATE(CalendarYear,10,1)-WEEKDAY(DATE(CalendarYear,10,1),(InicioDeSemana="Lunes")+1)+8</f>
        <v>45935</v>
      </c>
      <c r="C7" s="130">
        <v>45936</v>
      </c>
      <c r="D7" s="130">
        <v>45937</v>
      </c>
      <c r="E7" s="130">
        <v>45938</v>
      </c>
      <c r="F7" s="130">
        <v>45939</v>
      </c>
      <c r="G7" s="130">
        <v>45940</v>
      </c>
      <c r="H7" s="130">
        <v>45941</v>
      </c>
    </row>
    <row r="8" spans="1:8" s="8" customFormat="1" ht="20.100000000000001" customHeight="1">
      <c r="B8" s="68" t="s">
        <v>98</v>
      </c>
      <c r="C8" s="108" t="s">
        <v>44</v>
      </c>
      <c r="D8" s="72" t="s">
        <v>48</v>
      </c>
      <c r="E8" s="72" t="s">
        <v>94</v>
      </c>
      <c r="F8" s="72" t="s">
        <v>69</v>
      </c>
      <c r="G8" s="68" t="s">
        <v>87</v>
      </c>
      <c r="H8" s="72" t="s">
        <v>15</v>
      </c>
    </row>
    <row r="9" spans="1:8" s="8" customFormat="1" ht="20.100000000000001" customHeight="1">
      <c r="B9" s="72" t="s">
        <v>66</v>
      </c>
      <c r="C9" s="82" t="s">
        <v>124</v>
      </c>
      <c r="D9" s="72" t="s">
        <v>23</v>
      </c>
      <c r="E9" s="72" t="s">
        <v>34</v>
      </c>
      <c r="F9" s="8" t="s">
        <v>62</v>
      </c>
      <c r="G9" s="8" t="s">
        <v>89</v>
      </c>
      <c r="H9" s="72" t="s">
        <v>32</v>
      </c>
    </row>
    <row r="10" spans="1:8" ht="20.100000000000001" customHeight="1">
      <c r="A10" s="8"/>
      <c r="B10" s="73" t="s">
        <v>90</v>
      </c>
      <c r="C10" s="73" t="s">
        <v>77</v>
      </c>
      <c r="D10" s="73" t="s">
        <v>50</v>
      </c>
      <c r="E10" s="73" t="s">
        <v>68</v>
      </c>
      <c r="F10" s="73" t="s">
        <v>67</v>
      </c>
      <c r="G10" s="73" t="s">
        <v>73</v>
      </c>
      <c r="H10" s="73" t="s">
        <v>123</v>
      </c>
    </row>
    <row r="11" spans="1:8" ht="20.100000000000001" customHeight="1">
      <c r="A11" s="8"/>
      <c r="B11" s="131">
        <f t="array" ref="B11:H11">DaysAndWeeks+DATE(CalendarYear,10,1)-WEEKDAY(DATE(CalendarYear,10,1),(InicioDeSemana="Lunes")+1)+15</f>
        <v>45942</v>
      </c>
      <c r="C11" s="131">
        <v>45943</v>
      </c>
      <c r="D11" s="131">
        <v>45944</v>
      </c>
      <c r="E11" s="131">
        <v>45945</v>
      </c>
      <c r="F11" s="131">
        <v>45946</v>
      </c>
      <c r="G11" s="131">
        <v>45947</v>
      </c>
      <c r="H11" s="131">
        <v>45948</v>
      </c>
    </row>
    <row r="12" spans="1:8" s="8" customFormat="1" ht="20.100000000000001" customHeight="1">
      <c r="B12" s="68" t="s">
        <v>30</v>
      </c>
      <c r="C12" s="72" t="s">
        <v>73</v>
      </c>
      <c r="D12" s="68" t="s">
        <v>47</v>
      </c>
      <c r="E12" s="68" t="s">
        <v>78</v>
      </c>
      <c r="F12" s="72" t="s">
        <v>67</v>
      </c>
      <c r="G12" s="68" t="s">
        <v>12</v>
      </c>
      <c r="H12" s="79" t="s">
        <v>31</v>
      </c>
    </row>
    <row r="13" spans="1:8" s="8" customFormat="1" ht="20.100000000000001" customHeight="1">
      <c r="B13" s="68" t="s">
        <v>98</v>
      </c>
      <c r="C13" s="72" t="s">
        <v>50</v>
      </c>
      <c r="D13" s="68" t="s">
        <v>57</v>
      </c>
      <c r="E13" s="79" t="s">
        <v>60</v>
      </c>
      <c r="F13" s="72" t="s">
        <v>95</v>
      </c>
      <c r="G13" s="68" t="s">
        <v>58</v>
      </c>
      <c r="H13" s="68" t="s">
        <v>14</v>
      </c>
    </row>
    <row r="14" spans="1:8" ht="20.100000000000001" customHeight="1">
      <c r="A14" s="8"/>
      <c r="B14" s="69" t="s">
        <v>120</v>
      </c>
      <c r="C14" s="128" t="s">
        <v>5</v>
      </c>
      <c r="D14" s="128" t="s">
        <v>100</v>
      </c>
      <c r="E14" s="68" t="s">
        <v>107</v>
      </c>
      <c r="F14" s="68" t="s">
        <v>8</v>
      </c>
      <c r="G14" s="69" t="s">
        <v>114</v>
      </c>
      <c r="H14" s="128" t="s">
        <v>126</v>
      </c>
    </row>
    <row r="15" spans="1:8" ht="20.100000000000001" customHeight="1">
      <c r="A15" s="8"/>
      <c r="B15" s="130">
        <f t="array" ref="B15:H15">DaysAndWeeks+DATE(CalendarYear,10,1)-WEEKDAY(DATE(CalendarYear,10,1),(InicioDeSemana="Lunes")+1)+22</f>
        <v>45949</v>
      </c>
      <c r="C15" s="130">
        <v>45950</v>
      </c>
      <c r="D15" s="130">
        <v>45951</v>
      </c>
      <c r="E15" s="130">
        <v>45952</v>
      </c>
      <c r="F15" s="130">
        <v>45953</v>
      </c>
      <c r="G15" s="130">
        <v>45954</v>
      </c>
      <c r="H15" s="130">
        <v>45955</v>
      </c>
    </row>
    <row r="16" spans="1:8" s="8" customFormat="1" ht="20.100000000000001" customHeight="1">
      <c r="B16" s="94" t="s">
        <v>113</v>
      </c>
      <c r="C16" s="72" t="s">
        <v>77</v>
      </c>
      <c r="D16" s="72" t="s">
        <v>95</v>
      </c>
      <c r="E16" s="73" t="s">
        <v>60</v>
      </c>
      <c r="F16" s="72" t="s">
        <v>53</v>
      </c>
      <c r="G16" s="8" t="s">
        <v>42</v>
      </c>
      <c r="H16" s="72" t="s">
        <v>91</v>
      </c>
    </row>
    <row r="17" spans="1:8" s="8" customFormat="1" ht="20.100000000000001" customHeight="1">
      <c r="B17" s="72" t="s">
        <v>120</v>
      </c>
      <c r="C17" s="73" t="s">
        <v>73</v>
      </c>
      <c r="D17" s="82" t="s">
        <v>103</v>
      </c>
      <c r="E17" s="72" t="s">
        <v>69</v>
      </c>
      <c r="F17" s="72" t="s">
        <v>5</v>
      </c>
      <c r="G17" s="72" t="s">
        <v>31</v>
      </c>
      <c r="H17" s="72" t="s">
        <v>15</v>
      </c>
    </row>
    <row r="18" spans="1:8" ht="20.100000000000001" customHeight="1">
      <c r="A18" s="8"/>
      <c r="B18" s="73" t="s">
        <v>66</v>
      </c>
      <c r="C18" s="73" t="s">
        <v>55</v>
      </c>
      <c r="D18" s="73" t="s">
        <v>62</v>
      </c>
      <c r="E18" s="95" t="s">
        <v>90</v>
      </c>
      <c r="F18" s="68" t="s">
        <v>107</v>
      </c>
      <c r="G18" t="s">
        <v>113</v>
      </c>
      <c r="H18" s="73" t="s">
        <v>71</v>
      </c>
    </row>
    <row r="19" spans="1:8" ht="20.100000000000001" customHeight="1">
      <c r="A19" s="8"/>
      <c r="B19" s="131">
        <f t="array" ref="B19:H19">DaysAndWeeks+DATE(CalendarYear,10,1)-WEEKDAY(DATE(CalendarYear,10,1),(InicioDeSemana="Lunes")+1)+29</f>
        <v>45956</v>
      </c>
      <c r="C19" s="131">
        <v>45957</v>
      </c>
      <c r="D19" s="131">
        <v>45958</v>
      </c>
      <c r="E19" s="131">
        <v>45959</v>
      </c>
      <c r="F19" s="131">
        <v>45960</v>
      </c>
      <c r="G19" s="131">
        <v>45961</v>
      </c>
      <c r="H19" s="131">
        <v>45962</v>
      </c>
    </row>
    <row r="20" spans="1:8" s="8" customFormat="1" ht="20.100000000000001" customHeight="1">
      <c r="B20" s="68" t="s">
        <v>89</v>
      </c>
      <c r="C20" s="83" t="s">
        <v>88</v>
      </c>
      <c r="D20" s="68" t="s">
        <v>55</v>
      </c>
      <c r="E20" s="120" t="s">
        <v>62</v>
      </c>
      <c r="F20" s="68" t="s">
        <v>8</v>
      </c>
      <c r="G20" s="150" t="s">
        <v>33</v>
      </c>
      <c r="H20" s="68" t="s">
        <v>98</v>
      </c>
    </row>
    <row r="21" spans="1:8" s="8" customFormat="1" ht="20.100000000000001" customHeight="1">
      <c r="B21" s="72" t="s">
        <v>116</v>
      </c>
      <c r="C21" s="97" t="s">
        <v>5</v>
      </c>
      <c r="D21" s="68" t="s">
        <v>47</v>
      </c>
      <c r="E21" s="68" t="s">
        <v>114</v>
      </c>
      <c r="F21" s="68" t="s">
        <v>67</v>
      </c>
      <c r="G21" s="68" t="s">
        <v>31</v>
      </c>
      <c r="H21" s="68" t="s">
        <v>123</v>
      </c>
    </row>
    <row r="22" spans="1:8" ht="20.100000000000001" customHeight="1">
      <c r="A22" s="8"/>
      <c r="B22" s="69" t="s">
        <v>32</v>
      </c>
      <c r="C22" s="128" t="s">
        <v>95</v>
      </c>
      <c r="D22" s="69" t="s">
        <v>57</v>
      </c>
      <c r="E22" s="115" t="s">
        <v>107</v>
      </c>
      <c r="F22" s="69" t="s">
        <v>68</v>
      </c>
      <c r="G22" s="69" t="s">
        <v>12</v>
      </c>
      <c r="H22" s="69" t="s">
        <v>14</v>
      </c>
    </row>
    <row r="23" spans="1:8" ht="19.5" customHeight="1">
      <c r="A23" s="8"/>
      <c r="B23" s="65">
        <f t="array" ref="B23:C23">DaysAndWeeks+DATE(CalendarYear,10,1)-WEEKDAY(DATE(CalendarYear,10,1),(InicioDeSemana="Lunes")+1)+36</f>
        <v>45963</v>
      </c>
      <c r="C23" s="65">
        <v>45964</v>
      </c>
      <c r="D23" s="87" t="s">
        <v>0</v>
      </c>
      <c r="E23" s="165"/>
      <c r="F23" s="165"/>
      <c r="G23" s="165"/>
      <c r="H23" s="166"/>
    </row>
    <row r="24" spans="1:8" ht="57.95" customHeight="1">
      <c r="A24" s="8"/>
      <c r="B24" s="66"/>
      <c r="C24" s="66"/>
      <c r="D24" s="149" t="s">
        <v>125</v>
      </c>
      <c r="E24" s="167"/>
      <c r="F24" s="167"/>
      <c r="G24" s="167"/>
      <c r="H24" s="168"/>
    </row>
  </sheetData>
  <mergeCells count="1">
    <mergeCell ref="E23:H24"/>
  </mergeCells>
  <conditionalFormatting sqref="B23:C23 B19:H20 D21:H21">
    <cfRule type="expression" dxfId="10" priority="6">
      <formula>AND(DAY(B19)&gt;=1,DAY(B19)&lt;=15)</formula>
    </cfRule>
  </conditionalFormatting>
  <conditionalFormatting sqref="B3:G3 B4:D4 B5:G5 F4:G4">
    <cfRule type="expression" dxfId="9" priority="5">
      <formula>DAY(B3)&gt;8</formula>
    </cfRule>
  </conditionalFormatting>
  <conditionalFormatting sqref="D23">
    <cfRule type="expression" dxfId="8" priority="3">
      <formula>AND(DAY(D23)&gt;=1,DAY(D23)&lt;=15)</formula>
    </cfRule>
  </conditionalFormatting>
  <conditionalFormatting sqref="G8">
    <cfRule type="expression" dxfId="7" priority="2">
      <formula>DAY(G8)&gt;8</formula>
    </cfRule>
  </conditionalFormatting>
  <conditionalFormatting sqref="B8">
    <cfRule type="expression" dxfId="6" priority="1">
      <formula>AND(DAY(B8)&gt;=1,DAY(B8)&lt;=15)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octubre" sqref="A1"/>
    <dataValidation allowBlank="1" showInputMessage="1" showErrorMessage="1" prompt="Escriba notas en la celda a la derecha." sqref="D23:D24"/>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theme="9" tint="-0.499984740745262"/>
    <pageSetUpPr fitToPage="1"/>
  </sheetPr>
  <dimension ref="A1:H33"/>
  <sheetViews>
    <sheetView showGridLines="0" zoomScale="50" zoomScaleNormal="50" workbookViewId="0">
      <selection activeCell="G13" sqref="G13"/>
    </sheetView>
  </sheetViews>
  <sheetFormatPr baseColWidth="10" defaultColWidth="8.88671875" defaultRowHeight="14.25"/>
  <cols>
    <col min="1" max="1" width="2.77734375" customWidth="1"/>
    <col min="2" max="8" width="40.77734375" customWidth="1"/>
    <col min="9" max="9" width="2.77734375" customWidth="1"/>
  </cols>
  <sheetData>
    <row r="1" spans="1:8" ht="59.25" customHeight="1">
      <c r="A1" s="8"/>
      <c r="B1" s="57" t="str">
        <f>"Noviembre "&amp;CalendarYear</f>
        <v>Noviembre 2025</v>
      </c>
      <c r="C1" s="51"/>
      <c r="D1" s="51"/>
      <c r="E1" s="52"/>
      <c r="F1" s="52"/>
      <c r="G1" s="52"/>
      <c r="H1" s="53"/>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31">
        <f t="array" ref="B3:H3">DaysAndWeeks+DATE(CalendarYear,11,1)-WEEKDAY(DATE(CalendarYear,11,1),(InicioDeSemana="Lunes")+1)+1</f>
        <v>45956</v>
      </c>
      <c r="C3" s="131">
        <v>45957</v>
      </c>
      <c r="D3" s="131">
        <v>45958</v>
      </c>
      <c r="E3" s="131">
        <v>45959</v>
      </c>
      <c r="F3" s="131">
        <v>45960</v>
      </c>
      <c r="G3" s="131">
        <v>45961</v>
      </c>
      <c r="H3" s="131">
        <v>45962</v>
      </c>
    </row>
    <row r="4" spans="1:8" s="8" customFormat="1" ht="20.100000000000001" customHeight="1">
      <c r="B4" s="68"/>
      <c r="C4" s="68" t="s">
        <v>88</v>
      </c>
      <c r="D4" s="68" t="s">
        <v>55</v>
      </c>
      <c r="E4" s="68" t="s">
        <v>62</v>
      </c>
      <c r="F4" s="68" t="s">
        <v>8</v>
      </c>
      <c r="G4" s="68" t="s">
        <v>33</v>
      </c>
      <c r="H4" s="68" t="s">
        <v>98</v>
      </c>
    </row>
    <row r="5" spans="1:8" s="8" customFormat="1" ht="20.100000000000001" customHeight="1">
      <c r="B5" s="68"/>
      <c r="C5" s="68" t="s">
        <v>5</v>
      </c>
      <c r="D5" s="8" t="s">
        <v>47</v>
      </c>
      <c r="E5" s="68" t="s">
        <v>114</v>
      </c>
      <c r="F5" s="68" t="s">
        <v>67</v>
      </c>
      <c r="G5" s="68" t="s">
        <v>31</v>
      </c>
      <c r="H5" s="68" t="s">
        <v>123</v>
      </c>
    </row>
    <row r="6" spans="1:8" ht="20.100000000000001" customHeight="1">
      <c r="A6" s="8"/>
      <c r="B6" s="69"/>
      <c r="C6" s="69" t="s">
        <v>95</v>
      </c>
      <c r="D6" s="69" t="s">
        <v>57</v>
      </c>
      <c r="E6" s="69" t="s">
        <v>107</v>
      </c>
      <c r="F6" s="69" t="s">
        <v>68</v>
      </c>
      <c r="G6" s="69" t="s">
        <v>12</v>
      </c>
      <c r="H6" s="93" t="s">
        <v>14</v>
      </c>
    </row>
    <row r="7" spans="1:8" ht="20.100000000000001" customHeight="1">
      <c r="A7" s="8"/>
      <c r="B7" s="130">
        <f t="array" ref="B7:H7">DaysAndWeeks+DATE(CalendarYear,11,1)-WEEKDAY(DATE(CalendarYear,11,1),(InicioDeSemana="Lunes")+1)+8</f>
        <v>45963</v>
      </c>
      <c r="C7" s="130">
        <v>45964</v>
      </c>
      <c r="D7" s="130">
        <v>45965</v>
      </c>
      <c r="E7" s="130">
        <v>45966</v>
      </c>
      <c r="F7" s="130">
        <v>45967</v>
      </c>
      <c r="G7" s="130">
        <v>45968</v>
      </c>
      <c r="H7" s="130">
        <v>45969</v>
      </c>
    </row>
    <row r="8" spans="1:8" s="8" customFormat="1" ht="20.100000000000001" customHeight="1">
      <c r="B8" s="114" t="s">
        <v>30</v>
      </c>
      <c r="C8" s="72" t="s">
        <v>44</v>
      </c>
      <c r="D8" s="82" t="s">
        <v>40</v>
      </c>
      <c r="E8" s="72" t="s">
        <v>69</v>
      </c>
      <c r="F8" s="73" t="s">
        <v>100</v>
      </c>
      <c r="G8" s="72" t="s">
        <v>9</v>
      </c>
      <c r="H8" s="72" t="s">
        <v>91</v>
      </c>
    </row>
    <row r="9" spans="1:8" s="8" customFormat="1" ht="20.100000000000001" customHeight="1">
      <c r="B9" s="94" t="s">
        <v>35</v>
      </c>
      <c r="C9" s="72" t="s">
        <v>77</v>
      </c>
      <c r="D9" s="8" t="s">
        <v>48</v>
      </c>
      <c r="E9" s="72" t="s">
        <v>34</v>
      </c>
      <c r="F9" s="82" t="s">
        <v>31</v>
      </c>
      <c r="G9" s="72" t="s">
        <v>89</v>
      </c>
      <c r="H9" s="72" t="s">
        <v>127</v>
      </c>
    </row>
    <row r="10" spans="1:8" ht="20.100000000000001" customHeight="1">
      <c r="A10" s="8"/>
      <c r="B10" s="73" t="s">
        <v>66</v>
      </c>
      <c r="C10" s="92" t="s">
        <v>5</v>
      </c>
      <c r="D10" s="114" t="s">
        <v>50</v>
      </c>
      <c r="E10" s="73" t="s">
        <v>114</v>
      </c>
      <c r="F10" s="73" t="s">
        <v>107</v>
      </c>
      <c r="G10" s="73" t="s">
        <v>130</v>
      </c>
      <c r="H10" s="81" t="s">
        <v>129</v>
      </c>
    </row>
    <row r="11" spans="1:8" ht="20.100000000000001" customHeight="1">
      <c r="A11" s="8"/>
      <c r="B11" s="131">
        <f t="array" ref="B11:H11">DaysAndWeeks+DATE(CalendarYear,11,1)-WEEKDAY(DATE(CalendarYear,11,1),(InicioDeSemana="Lunes")+1)+15</f>
        <v>45970</v>
      </c>
      <c r="C11" s="131">
        <v>45971</v>
      </c>
      <c r="D11" s="131">
        <v>45972</v>
      </c>
      <c r="E11" s="131">
        <v>45973</v>
      </c>
      <c r="F11" s="131">
        <v>45974</v>
      </c>
      <c r="G11" s="131">
        <v>45975</v>
      </c>
      <c r="H11" s="131">
        <v>45976</v>
      </c>
    </row>
    <row r="12" spans="1:8" s="8" customFormat="1" ht="20.100000000000001" customHeight="1">
      <c r="B12" s="68" t="s">
        <v>98</v>
      </c>
      <c r="C12" s="68" t="s">
        <v>42</v>
      </c>
      <c r="D12" s="68" t="s">
        <v>57</v>
      </c>
      <c r="E12" s="82" t="s">
        <v>103</v>
      </c>
      <c r="F12" s="68" t="s">
        <v>53</v>
      </c>
      <c r="G12" s="68" t="s">
        <v>8</v>
      </c>
      <c r="H12" s="68" t="s">
        <v>15</v>
      </c>
    </row>
    <row r="13" spans="1:8" s="8" customFormat="1" ht="20.100000000000001" customHeight="1">
      <c r="B13" s="68" t="s">
        <v>113</v>
      </c>
      <c r="C13" s="68" t="s">
        <v>50</v>
      </c>
      <c r="D13" s="69" t="s">
        <v>95</v>
      </c>
      <c r="E13" s="120" t="s">
        <v>130</v>
      </c>
      <c r="F13" s="68" t="s">
        <v>67</v>
      </c>
      <c r="G13" s="69" t="s">
        <v>12</v>
      </c>
      <c r="H13" s="68" t="s">
        <v>71</v>
      </c>
    </row>
    <row r="14" spans="1:8" ht="20.100000000000001" customHeight="1">
      <c r="A14" s="8"/>
      <c r="B14" s="69" t="s">
        <v>128</v>
      </c>
      <c r="C14" s="114" t="s">
        <v>133</v>
      </c>
      <c r="D14" s="97" t="s">
        <v>68</v>
      </c>
      <c r="E14" s="153" t="s">
        <v>5</v>
      </c>
      <c r="F14" s="153" t="s">
        <v>62</v>
      </c>
      <c r="G14" t="s">
        <v>55</v>
      </c>
      <c r="H14" s="69" t="s">
        <v>14</v>
      </c>
    </row>
    <row r="15" spans="1:8" ht="20.100000000000001" customHeight="1">
      <c r="A15" s="8"/>
      <c r="B15" s="130">
        <f t="array" ref="B15:H15">DaysAndWeeks+DATE(CalendarYear,11,1)-WEEKDAY(DATE(CalendarYear,11,1),(InicioDeSemana="Lunes")+1)+22</f>
        <v>45977</v>
      </c>
      <c r="C15" s="130">
        <v>45978</v>
      </c>
      <c r="D15" s="130">
        <v>45979</v>
      </c>
      <c r="E15" s="130">
        <v>45980</v>
      </c>
      <c r="F15" s="130">
        <v>45981</v>
      </c>
      <c r="G15" s="130">
        <v>45982</v>
      </c>
      <c r="H15" s="130">
        <v>45983</v>
      </c>
    </row>
    <row r="16" spans="1:8" s="8" customFormat="1" ht="20.100000000000001" customHeight="1">
      <c r="B16" s="72" t="s">
        <v>116</v>
      </c>
      <c r="C16" s="72" t="s">
        <v>77</v>
      </c>
      <c r="D16" s="68" t="s">
        <v>47</v>
      </c>
      <c r="E16" s="82" t="s">
        <v>78</v>
      </c>
      <c r="F16" s="72" t="s">
        <v>22</v>
      </c>
      <c r="G16" s="72" t="s">
        <v>48</v>
      </c>
      <c r="H16" s="72" t="s">
        <v>15</v>
      </c>
    </row>
    <row r="17" spans="1:8" s="8" customFormat="1" ht="20.100000000000001" customHeight="1">
      <c r="B17" s="68" t="s">
        <v>32</v>
      </c>
      <c r="C17" s="94" t="s">
        <v>95</v>
      </c>
      <c r="D17" s="72" t="s">
        <v>100</v>
      </c>
      <c r="E17" s="72" t="s">
        <v>114</v>
      </c>
      <c r="F17" s="82" t="s">
        <v>60</v>
      </c>
      <c r="G17" s="72" t="s">
        <v>9</v>
      </c>
      <c r="H17" s="72" t="s">
        <v>127</v>
      </c>
    </row>
    <row r="18" spans="1:8" ht="20.100000000000001" customHeight="1">
      <c r="A18" s="8"/>
      <c r="B18" s="146" t="s">
        <v>30</v>
      </c>
      <c r="C18" s="154" t="s">
        <v>107</v>
      </c>
      <c r="D18" s="152" t="s">
        <v>62</v>
      </c>
      <c r="E18" s="152" t="s">
        <v>43</v>
      </c>
      <c r="F18" s="155" t="s">
        <v>135</v>
      </c>
      <c r="G18" s="155" t="s">
        <v>134</v>
      </c>
      <c r="H18" s="155" t="s">
        <v>136</v>
      </c>
    </row>
    <row r="19" spans="1:8" ht="20.100000000000001" customHeight="1">
      <c r="A19" s="8"/>
      <c r="B19" s="131">
        <f t="array" ref="B19:H19">DaysAndWeeks+DATE(CalendarYear,11,1)-WEEKDAY(DATE(CalendarYear,11,1),(InicioDeSemana="Lunes")+1)+29</f>
        <v>45984</v>
      </c>
      <c r="C19" s="131">
        <v>45985</v>
      </c>
      <c r="D19" s="131">
        <v>45986</v>
      </c>
      <c r="E19" s="131">
        <v>45987</v>
      </c>
      <c r="F19" s="131">
        <v>45988</v>
      </c>
      <c r="G19" s="131">
        <v>45989</v>
      </c>
      <c r="H19" s="131">
        <v>45990</v>
      </c>
    </row>
    <row r="20" spans="1:8" s="8" customFormat="1" ht="20.100000000000001" customHeight="1">
      <c r="B20" s="68" t="s">
        <v>89</v>
      </c>
      <c r="C20" s="8" t="s">
        <v>88</v>
      </c>
      <c r="D20" s="120" t="s">
        <v>5</v>
      </c>
      <c r="E20" s="68" t="s">
        <v>43</v>
      </c>
      <c r="F20" s="68" t="s">
        <v>67</v>
      </c>
      <c r="G20" s="68" t="s">
        <v>33</v>
      </c>
      <c r="H20" s="68" t="s">
        <v>37</v>
      </c>
    </row>
    <row r="21" spans="1:8" s="8" customFormat="1" ht="20.100000000000001" customHeight="1">
      <c r="B21" s="114" t="s">
        <v>128</v>
      </c>
      <c r="C21" s="68" t="s">
        <v>55</v>
      </c>
      <c r="D21" s="79" t="s">
        <v>130</v>
      </c>
      <c r="E21" s="120" t="s">
        <v>58</v>
      </c>
      <c r="F21" s="120" t="s">
        <v>69</v>
      </c>
      <c r="G21" s="68" t="s">
        <v>89</v>
      </c>
      <c r="H21" s="68" t="s">
        <v>71</v>
      </c>
    </row>
    <row r="22" spans="1:8" ht="20.100000000000001" customHeight="1">
      <c r="A22" s="8"/>
      <c r="B22" s="153" t="s">
        <v>132</v>
      </c>
      <c r="C22" s="156" t="s">
        <v>124</v>
      </c>
      <c r="D22" s="93" t="s">
        <v>60</v>
      </c>
      <c r="E22" s="153" t="s">
        <v>68</v>
      </c>
      <c r="F22" s="153" t="s">
        <v>8</v>
      </c>
      <c r="G22" s="69" t="s">
        <v>48</v>
      </c>
      <c r="H22" s="69" t="s">
        <v>14</v>
      </c>
    </row>
    <row r="23" spans="1:8" ht="20.100000000000001" customHeight="1">
      <c r="A23" s="8"/>
      <c r="B23" s="130">
        <f t="array" ref="B23:C23">DaysAndWeeks+DATE(CalendarYear,11,1)-WEEKDAY(DATE(CalendarYear,11,1),(InicioDeSemana="Lunes")+1)+36</f>
        <v>45991</v>
      </c>
      <c r="C23" s="72">
        <v>45992</v>
      </c>
      <c r="D23" s="148" t="s">
        <v>0</v>
      </c>
      <c r="E23" s="170"/>
      <c r="F23" s="170"/>
      <c r="G23" s="170"/>
      <c r="H23" s="170"/>
    </row>
    <row r="24" spans="1:8" s="8" customFormat="1" ht="20.100000000000001" customHeight="1">
      <c r="B24" s="72" t="s">
        <v>113</v>
      </c>
      <c r="C24" s="82" t="s">
        <v>44</v>
      </c>
      <c r="D24" s="148" t="s">
        <v>57</v>
      </c>
      <c r="E24" s="170"/>
      <c r="F24" s="170"/>
      <c r="G24" s="170"/>
      <c r="H24" s="170"/>
    </row>
    <row r="25" spans="1:8" s="8" customFormat="1" ht="20.100000000000001" customHeight="1">
      <c r="B25" s="94" t="s">
        <v>66</v>
      </c>
      <c r="C25" s="72" t="s">
        <v>95</v>
      </c>
      <c r="D25" s="97" t="s">
        <v>129</v>
      </c>
      <c r="E25" s="170"/>
      <c r="F25" s="170"/>
      <c r="G25" s="170"/>
      <c r="H25" s="170"/>
    </row>
    <row r="26" spans="1:8" ht="20.100000000000001" customHeight="1">
      <c r="A26" s="8"/>
      <c r="B26" s="152" t="s">
        <v>131</v>
      </c>
      <c r="C26" s="81" t="s">
        <v>50</v>
      </c>
      <c r="D26" s="149" t="s">
        <v>130</v>
      </c>
      <c r="E26" s="170"/>
      <c r="F26" s="170"/>
      <c r="G26" s="170"/>
      <c r="H26" s="170"/>
    </row>
    <row r="27" spans="1:8">
      <c r="B27" s="111"/>
    </row>
    <row r="33" spans="6:6">
      <c r="F33" t="s">
        <v>74</v>
      </c>
    </row>
  </sheetData>
  <mergeCells count="1">
    <mergeCell ref="E23:H26"/>
  </mergeCells>
  <conditionalFormatting sqref="B23:C25 B19:H19 C21:H21 B17 B20 D20:H20">
    <cfRule type="expression" dxfId="5" priority="5">
      <formula>AND(DAY(B17)&gt;=1,DAY(B17)&lt;=15)</formula>
    </cfRule>
  </conditionalFormatting>
  <conditionalFormatting sqref="B3:G4 B5:C5 E5:G5 D16">
    <cfRule type="expression" dxfId="4" priority="4">
      <formula>DAY(B3)&gt;8</formula>
    </cfRule>
  </conditionalFormatting>
  <conditionalFormatting sqref="D23:D24">
    <cfRule type="expression" dxfId="3"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noviembre" sqref="A1"/>
    <dataValidation allowBlank="1" showInputMessage="1" showErrorMessage="1" prompt="Escriba notas en la celda a la derecha." sqref="D23:D24 D26"/>
    <dataValidation allowBlank="1" showInputMessage="1" showErrorMessage="1" prompt="Escriba notas en esta celda." sqref="E23:H26"/>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6" tint="-0.249977111117893"/>
    <pageSetUpPr fitToPage="1"/>
  </sheetPr>
  <dimension ref="A1:H26"/>
  <sheetViews>
    <sheetView showGridLines="0" zoomScale="50" zoomScaleNormal="50" workbookViewId="0">
      <selection activeCell="H17" sqref="H17"/>
    </sheetView>
  </sheetViews>
  <sheetFormatPr baseColWidth="10" defaultColWidth="8.88671875" defaultRowHeight="14.25"/>
  <cols>
    <col min="1" max="1" width="2.77734375" customWidth="1"/>
    <col min="2" max="8" width="40.77734375" customWidth="1"/>
    <col min="9" max="9" width="2.77734375" customWidth="1"/>
  </cols>
  <sheetData>
    <row r="1" spans="1:8" ht="59.25" customHeight="1">
      <c r="A1" s="8"/>
      <c r="B1" s="58" t="str">
        <f>"Diciembre "&amp;CalendarYear</f>
        <v>Diciembre 2025</v>
      </c>
      <c r="C1" s="59"/>
      <c r="D1" s="59"/>
      <c r="E1" s="60"/>
      <c r="F1" s="60"/>
      <c r="G1" s="60"/>
      <c r="H1" s="61"/>
    </row>
    <row r="2" spans="1:8" ht="21.75" customHeight="1">
      <c r="A2" s="8"/>
      <c r="B2" s="99" t="str">
        <f>IF(InicioDeSemana="DOMINGO", "DOMINGO","LUNES")</f>
        <v>DOMINGO</v>
      </c>
      <c r="C2" s="99" t="str">
        <f t="shared" ref="C2:H2" si="0">UPPER(TEXT(C3,"dddd"))</f>
        <v>LUNES</v>
      </c>
      <c r="D2" s="99" t="str">
        <f t="shared" si="0"/>
        <v>MARTES</v>
      </c>
      <c r="E2" s="99" t="str">
        <f t="shared" si="0"/>
        <v>MIÉRCOLES</v>
      </c>
      <c r="F2" s="99" t="str">
        <f t="shared" si="0"/>
        <v>JUEVES</v>
      </c>
      <c r="G2" s="99" t="str">
        <f t="shared" si="0"/>
        <v>VIERNES</v>
      </c>
      <c r="H2" s="99" t="str">
        <f t="shared" si="0"/>
        <v>SÁBADO</v>
      </c>
    </row>
    <row r="3" spans="1:8" ht="20.100000000000001" customHeight="1">
      <c r="A3" s="8"/>
      <c r="B3" s="131">
        <f t="array" ref="B3:H3">DaysAndWeeks+DATE(CalendarYear,12,1)-WEEKDAY(DATE(CalendarYear,12,1),(InicioDeSemana="Lunes")+1)+1</f>
        <v>45991</v>
      </c>
      <c r="C3" s="131">
        <v>45992</v>
      </c>
      <c r="D3" s="131">
        <v>45993</v>
      </c>
      <c r="E3" s="131">
        <v>45994</v>
      </c>
      <c r="F3" s="131">
        <v>45995</v>
      </c>
      <c r="G3" s="131">
        <v>45996</v>
      </c>
      <c r="H3" s="131">
        <v>45997</v>
      </c>
    </row>
    <row r="4" spans="1:8" s="8" customFormat="1" ht="20.100000000000001" customHeight="1">
      <c r="B4" s="68" t="s">
        <v>113</v>
      </c>
      <c r="C4" s="68" t="s">
        <v>44</v>
      </c>
      <c r="D4" s="68" t="s">
        <v>57</v>
      </c>
      <c r="E4" s="68" t="s">
        <v>5</v>
      </c>
      <c r="F4" s="68" t="s">
        <v>53</v>
      </c>
      <c r="G4" s="8" t="s">
        <v>91</v>
      </c>
      <c r="H4" s="68" t="s">
        <v>15</v>
      </c>
    </row>
    <row r="5" spans="1:8" s="8" customFormat="1" ht="20.100000000000001" customHeight="1">
      <c r="B5" s="68" t="s">
        <v>66</v>
      </c>
      <c r="C5" s="68" t="s">
        <v>95</v>
      </c>
      <c r="D5" s="68" t="s">
        <v>47</v>
      </c>
      <c r="E5" s="68" t="s">
        <v>78</v>
      </c>
      <c r="F5" s="68" t="s">
        <v>103</v>
      </c>
      <c r="G5" s="68" t="s">
        <v>9</v>
      </c>
      <c r="H5" s="68" t="s">
        <v>71</v>
      </c>
    </row>
    <row r="6" spans="1:8" ht="20.100000000000001" customHeight="1">
      <c r="A6" s="8"/>
      <c r="B6" s="69" t="s">
        <v>131</v>
      </c>
      <c r="C6" s="69" t="s">
        <v>50</v>
      </c>
      <c r="D6" s="128" t="s">
        <v>129</v>
      </c>
      <c r="E6" s="158" t="s">
        <v>60</v>
      </c>
      <c r="F6" s="158" t="s">
        <v>68</v>
      </c>
      <c r="G6" s="79" t="s">
        <v>31</v>
      </c>
      <c r="H6" s="69" t="s">
        <v>127</v>
      </c>
    </row>
    <row r="7" spans="1:8" ht="20.100000000000001" customHeight="1">
      <c r="A7" s="8"/>
      <c r="B7" s="130">
        <f t="array" ref="B7:H7">DaysAndWeeks+DATE(CalendarYear,12,1)-WEEKDAY(DATE(CalendarYear,12,1),(InicioDeSemana="Lunes")+1)+8</f>
        <v>45998</v>
      </c>
      <c r="C7" s="130">
        <v>45999</v>
      </c>
      <c r="D7" s="130">
        <v>46000</v>
      </c>
      <c r="E7" s="130">
        <v>46001</v>
      </c>
      <c r="F7" s="130">
        <v>46002</v>
      </c>
      <c r="G7" s="130">
        <v>46003</v>
      </c>
      <c r="H7" s="130">
        <v>46004</v>
      </c>
    </row>
    <row r="8" spans="1:8" s="8" customFormat="1" ht="20.100000000000001" customHeight="1">
      <c r="B8" s="72" t="s">
        <v>89</v>
      </c>
      <c r="C8" s="72" t="s">
        <v>95</v>
      </c>
      <c r="D8" s="72" t="s">
        <v>100</v>
      </c>
      <c r="E8" s="82" t="s">
        <v>137</v>
      </c>
      <c r="F8" s="72" t="s">
        <v>114</v>
      </c>
      <c r="G8" s="72" t="s">
        <v>42</v>
      </c>
      <c r="H8" s="72" t="s">
        <v>113</v>
      </c>
    </row>
    <row r="9" spans="1:8" s="8" customFormat="1" ht="20.100000000000001" customHeight="1">
      <c r="B9" s="72" t="s">
        <v>30</v>
      </c>
      <c r="C9" s="72" t="s">
        <v>77</v>
      </c>
      <c r="D9" s="72" t="s">
        <v>35</v>
      </c>
      <c r="E9" s="72" t="s">
        <v>60</v>
      </c>
      <c r="F9" s="72" t="s">
        <v>67</v>
      </c>
      <c r="G9" s="72" t="s">
        <v>91</v>
      </c>
      <c r="H9" s="72" t="s">
        <v>127</v>
      </c>
    </row>
    <row r="10" spans="1:8" ht="20.100000000000001" customHeight="1">
      <c r="A10" s="8"/>
      <c r="B10" s="73" t="s">
        <v>122</v>
      </c>
      <c r="C10" s="73" t="s">
        <v>124</v>
      </c>
      <c r="D10" s="73" t="s">
        <v>5</v>
      </c>
      <c r="E10" s="95" t="s">
        <v>43</v>
      </c>
      <c r="F10" s="73" t="s">
        <v>107</v>
      </c>
      <c r="G10" s="73" t="s">
        <v>138</v>
      </c>
      <c r="H10" s="114" t="s">
        <v>15</v>
      </c>
    </row>
    <row r="11" spans="1:8" ht="20.100000000000001" customHeight="1">
      <c r="A11" s="8"/>
      <c r="B11" s="131">
        <f t="array" ref="B11:H11">DaysAndWeeks+DATE(CalendarYear,12,1)-WEEKDAY(DATE(CalendarYear,12,1),(InicioDeSemana="Lunes")+1)+15</f>
        <v>46005</v>
      </c>
      <c r="C11" s="131">
        <v>46006</v>
      </c>
      <c r="D11" s="131">
        <v>46007</v>
      </c>
      <c r="E11" s="131">
        <v>46008</v>
      </c>
      <c r="F11" s="131">
        <v>46009</v>
      </c>
      <c r="G11" s="131">
        <v>46010</v>
      </c>
      <c r="H11" s="131">
        <v>46011</v>
      </c>
    </row>
    <row r="12" spans="1:8" s="8" customFormat="1" ht="20.100000000000001" customHeight="1">
      <c r="B12" s="157" t="s">
        <v>30</v>
      </c>
      <c r="C12" s="68" t="s">
        <v>88</v>
      </c>
      <c r="D12" s="68" t="s">
        <v>48</v>
      </c>
      <c r="E12" s="68" t="s">
        <v>78</v>
      </c>
      <c r="F12" s="68" t="s">
        <v>8</v>
      </c>
      <c r="G12" s="68" t="s">
        <v>87</v>
      </c>
      <c r="H12" s="68" t="s">
        <v>139</v>
      </c>
    </row>
    <row r="13" spans="1:8" s="8" customFormat="1" ht="20.100000000000001" customHeight="1">
      <c r="B13" s="68" t="s">
        <v>121</v>
      </c>
      <c r="C13" s="68" t="s">
        <v>5</v>
      </c>
      <c r="D13" s="68" t="s">
        <v>100</v>
      </c>
      <c r="E13" s="68" t="s">
        <v>34</v>
      </c>
      <c r="F13" s="68" t="s">
        <v>114</v>
      </c>
      <c r="G13" s="79" t="s">
        <v>12</v>
      </c>
      <c r="H13" s="68" t="s">
        <v>113</v>
      </c>
    </row>
    <row r="14" spans="1:8" ht="20.100000000000001" customHeight="1">
      <c r="A14" s="8"/>
      <c r="B14" s="69" t="s">
        <v>116</v>
      </c>
      <c r="C14" s="93" t="s">
        <v>50</v>
      </c>
      <c r="D14" s="69" t="s">
        <v>57</v>
      </c>
      <c r="E14" s="69" t="s">
        <v>68</v>
      </c>
      <c r="F14" s="69" t="s">
        <v>67</v>
      </c>
      <c r="G14" s="69" t="s">
        <v>89</v>
      </c>
      <c r="H14" s="69" t="s">
        <v>14</v>
      </c>
    </row>
    <row r="15" spans="1:8" ht="20.100000000000001" customHeight="1">
      <c r="A15" s="8"/>
      <c r="B15" s="130">
        <f t="array" ref="B15:H15">DaysAndWeeks+DATE(CalendarYear,12,1)-WEEKDAY(DATE(CalendarYear,12,1),(InicioDeSemana="Lunes")+1)+22</f>
        <v>46012</v>
      </c>
      <c r="C15" s="130">
        <v>46013</v>
      </c>
      <c r="D15" s="130">
        <v>46014</v>
      </c>
      <c r="E15" s="130">
        <v>46015</v>
      </c>
      <c r="F15" s="130">
        <v>46016</v>
      </c>
      <c r="G15" s="130">
        <v>46017</v>
      </c>
      <c r="H15" s="130">
        <v>46018</v>
      </c>
    </row>
    <row r="16" spans="1:8" s="8" customFormat="1" ht="20.100000000000001" customHeight="1">
      <c r="B16" s="72" t="s">
        <v>116</v>
      </c>
      <c r="C16" s="72" t="s">
        <v>103</v>
      </c>
      <c r="D16" s="72" t="s">
        <v>22</v>
      </c>
      <c r="E16" s="81" t="s">
        <v>130</v>
      </c>
      <c r="F16" s="72" t="s">
        <v>31</v>
      </c>
      <c r="G16" s="72" t="s">
        <v>33</v>
      </c>
      <c r="H16" s="94" t="s">
        <v>89</v>
      </c>
    </row>
    <row r="17" spans="1:8" s="8" customFormat="1" ht="20.100000000000001" customHeight="1">
      <c r="B17" s="72" t="s">
        <v>123</v>
      </c>
      <c r="C17" s="94" t="s">
        <v>77</v>
      </c>
      <c r="D17" s="82" t="s">
        <v>100</v>
      </c>
      <c r="E17" s="94" t="s">
        <v>60</v>
      </c>
      <c r="F17" s="95" t="s">
        <v>107</v>
      </c>
      <c r="G17" s="160" t="s">
        <v>48</v>
      </c>
      <c r="H17" s="115" t="s">
        <v>123</v>
      </c>
    </row>
    <row r="18" spans="1:8" ht="20.100000000000001" customHeight="1">
      <c r="A18" s="8"/>
      <c r="B18" s="81" t="s">
        <v>130</v>
      </c>
      <c r="C18" s="73" t="s">
        <v>43</v>
      </c>
      <c r="D18" s="159" t="s">
        <v>57</v>
      </c>
      <c r="E18" s="81" t="s">
        <v>78</v>
      </c>
      <c r="F18" s="97" t="s">
        <v>66</v>
      </c>
      <c r="G18" s="73" t="s">
        <v>11</v>
      </c>
      <c r="H18" s="97" t="s">
        <v>14</v>
      </c>
    </row>
    <row r="19" spans="1:8" ht="20.100000000000001" customHeight="1">
      <c r="A19" s="8"/>
      <c r="B19" s="131">
        <f t="array" ref="B19:H19">DaysAndWeeks+DATE(CalendarYear,12,1)-WEEKDAY(DATE(CalendarYear,12,1),(InicioDeSemana="Lunes")+1)+29</f>
        <v>46019</v>
      </c>
      <c r="C19" s="131">
        <v>46020</v>
      </c>
      <c r="D19" s="131">
        <v>46021</v>
      </c>
      <c r="E19" s="131">
        <v>46022</v>
      </c>
      <c r="F19" s="131">
        <v>46023</v>
      </c>
      <c r="G19" s="131">
        <v>46024</v>
      </c>
      <c r="H19" s="162">
        <v>46025</v>
      </c>
    </row>
    <row r="20" spans="1:8" s="8" customFormat="1" ht="20.100000000000001" customHeight="1">
      <c r="B20" s="73" t="s">
        <v>72</v>
      </c>
      <c r="C20" s="68" t="s">
        <v>43</v>
      </c>
      <c r="D20" s="68" t="s">
        <v>47</v>
      </c>
      <c r="E20" s="79" t="s">
        <v>9</v>
      </c>
      <c r="F20" s="68" t="s">
        <v>53</v>
      </c>
      <c r="G20" s="68" t="s">
        <v>42</v>
      </c>
      <c r="H20" s="82" t="s">
        <v>15</v>
      </c>
    </row>
    <row r="21" spans="1:8" s="8" customFormat="1" ht="20.100000000000001" customHeight="1">
      <c r="B21" s="69" t="s">
        <v>37</v>
      </c>
      <c r="C21" s="68" t="s">
        <v>50</v>
      </c>
      <c r="D21" s="69" t="s">
        <v>5</v>
      </c>
      <c r="E21" s="93" t="s">
        <v>68</v>
      </c>
      <c r="F21" s="161"/>
      <c r="G21" s="112" t="s">
        <v>48</v>
      </c>
      <c r="H21" s="114" t="s">
        <v>113</v>
      </c>
    </row>
    <row r="22" spans="1:8" ht="20.100000000000001" customHeight="1">
      <c r="A22" s="8"/>
      <c r="B22" s="114" t="s">
        <v>122</v>
      </c>
      <c r="C22" s="69" t="s">
        <v>77</v>
      </c>
      <c r="D22" s="97" t="s">
        <v>130</v>
      </c>
      <c r="E22" s="79" t="s">
        <v>67</v>
      </c>
      <c r="F22" s="68" t="s">
        <v>8</v>
      </c>
      <c r="G22" s="120" t="s">
        <v>11</v>
      </c>
      <c r="H22" s="93" t="s">
        <v>14</v>
      </c>
    </row>
    <row r="23" spans="1:8" ht="20.100000000000001" customHeight="1">
      <c r="A23" s="8"/>
      <c r="B23" s="163">
        <f t="array" ref="B23:C23">DaysAndWeeks+DATE(CalendarYear,12,1)-WEEKDAY(DATE(CalendarYear,12,1),(InicioDeSemana="Lunes")+1)+36</f>
        <v>46026</v>
      </c>
      <c r="C23" s="163">
        <v>46027</v>
      </c>
      <c r="D23" s="164" t="s">
        <v>0</v>
      </c>
      <c r="E23" s="170"/>
      <c r="F23" s="170"/>
      <c r="G23" s="170"/>
      <c r="H23" s="170"/>
    </row>
    <row r="24" spans="1:8" ht="20.100000000000001" customHeight="1">
      <c r="A24" s="8"/>
      <c r="C24" s="73" t="s">
        <v>44</v>
      </c>
      <c r="D24" s="161"/>
      <c r="E24" s="170"/>
      <c r="F24" s="170"/>
      <c r="G24" s="170"/>
      <c r="H24" s="170"/>
    </row>
    <row r="25" spans="1:8">
      <c r="B25" s="161"/>
      <c r="C25" s="161"/>
      <c r="D25" s="161"/>
    </row>
    <row r="26" spans="1:8">
      <c r="B26" s="114" t="s">
        <v>140</v>
      </c>
      <c r="C26" s="114" t="s">
        <v>72</v>
      </c>
      <c r="D26" s="161"/>
    </row>
  </sheetData>
  <mergeCells count="1">
    <mergeCell ref="E23:H24"/>
  </mergeCells>
  <conditionalFormatting sqref="B23:C23 C21 E22:G22 F13 B19:H19 C20:G20 H13">
    <cfRule type="expression" dxfId="2" priority="4">
      <formula>AND(DAY(B13)&gt;=1,DAY(B13)&lt;=15)</formula>
    </cfRule>
  </conditionalFormatting>
  <conditionalFormatting sqref="B3:G3 B5:G5 B4:F4 G6">
    <cfRule type="expression" dxfId="1" priority="3">
      <formula>DAY(B3)&gt;8</formula>
    </cfRule>
  </conditionalFormatting>
  <conditionalFormatting sqref="D23">
    <cfRule type="expression" dxfId="0" priority="1">
      <formula>AND(DAY(D23)&gt;=1,DAY(D23)&lt;=15)</formula>
    </cfRule>
  </conditionalFormatting>
  <dataValidations count="9">
    <dataValidation allowBlank="1" showInputMessage="1" showErrorMessage="1" prompt="El día de la semana se determinará automáticamente" sqref="C2:H2"/>
    <dataValidation allowBlank="1" showErrorMessage="1" prompt="El año de esta celda se actualiza automáticamente según el año especificado en la hoja de cálculo de Enero. El calendario siguiente incluye fechas de los meses anterior y posterior con un sombreado de fuente más claro." sqref="B1"/>
    <dataValidation allowBlank="1" showInputMessage="1" showErrorMessage="1" prompt="Esta fila y las filas 5, 7, 9, 11 y 13 contienen días naturales de la semana. Si esta celda no contiene el número 1, se trata de un día del mes anterior. Escriba notas en la celda E13." sqref="B3:B5"/>
    <dataValidation allowBlank="1" showInputMessage="1" showErrorMessage="1" prompt="Esta fila contiene los nombres de los días laborables de este calendario. Esta celda contiene el día de inicio de la semana. Para cambiar el día de inicio, escriba un nuevo día laborable en la celda K4 de la hoja de cálculo Enero." sqref="B2"/>
    <dataValidation allowBlank="1" showInputMessage="1" showErrorMessage="1" prompt="Calendario del mes de diciembre" sqref="A1"/>
    <dataValidation allowBlank="1" showInputMessage="1" showErrorMessage="1" prompt="Escriba notas en esta celda." sqref="E23:H24"/>
    <dataValidation allowBlank="1" showInputMessage="1" showErrorMessage="1" prompt="Las celdas de esta fila y las filas 6, 8, 10, 12 y 14 son para escribir notas diarias relacionadas con el día natural de la celda anterior." sqref="B6"/>
    <dataValidation allowBlank="1" showInputMessage="1" showErrorMessage="1" prompt="El año en esta celda se actualiza automáticamente. Seleccione otro año en la celda K3 de la hoja de cálculo Enero para cambiar el año" sqref="C1"/>
    <dataValidation allowBlank="1" showInputMessage="1" showErrorMessage="1" prompt="Escriba notas en la celda a la derecha." sqref="D23 D18"/>
  </dataValidations>
  <printOptions horizontalCentered="1" verticalCentered="1"/>
  <pageMargins left="0.7" right="0.7" top="0.75" bottom="0.75" header="0.3" footer="0.3"/>
  <pageSetup paperSize="9" scale="83" orientation="landscape" r:id="rId1"/>
  <headerFooter differentFirst="1" alignWithMargins="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11" ma:contentTypeDescription="Create a new document." ma:contentTypeScope="" ma:versionID="96291512c1ee715ab617f4c07df79fc1">
  <xsd:schema xmlns:xsd="http://www.w3.org/2001/XMLSchema" xmlns:xs="http://www.w3.org/2001/XMLSchema" xmlns:p="http://schemas.microsoft.com/office/2006/metadata/properties" xmlns:ns2="71af3243-3dd4-4a8d-8c0d-dd76da1f02a5" xmlns:ns3="16c05727-aa75-4e4a-9b5f-8a80a1165891" targetNamespace="http://schemas.microsoft.com/office/2006/metadata/properties" ma:root="true" ma:fieldsID="8256c27c40ca5c40ce1cf6c44f0205df" ns2:_="" ns3:_="">
    <xsd:import namespace="71af3243-3dd4-4a8d-8c0d-dd76da1f02a5"/>
    <xsd:import namespace="16c05727-aa75-4e4a-9b5f-8a80a1165891"/>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E604C7-1EE3-4813-B0A5-C950F86C9754}">
  <ds:schemaRefs>
    <ds:schemaRef ds:uri="http://www.w3.org/XML/1998/namespace"/>
    <ds:schemaRef ds:uri="71af3243-3dd4-4a8d-8c0d-dd76da1f02a5"/>
    <ds:schemaRef ds:uri="http://schemas.microsoft.com/office/2006/documentManagement/type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purl.org/dc/elements/1.1/"/>
    <ds:schemaRef ds:uri="16c05727-aa75-4e4a-9b5f-8a80a1165891"/>
    <ds:schemaRef ds:uri="http://purl.org/dc/terms/"/>
  </ds:schemaRefs>
</ds:datastoreItem>
</file>

<file path=customXml/itemProps2.xml><?xml version="1.0" encoding="utf-8"?>
<ds:datastoreItem xmlns:ds="http://schemas.openxmlformats.org/officeDocument/2006/customXml" ds:itemID="{76F8CC1F-02A7-41FB-B220-42B0D943F8C3}">
  <ds:schemaRefs>
    <ds:schemaRef ds:uri="http://schemas.microsoft.com/sharepoint/v3/contenttype/forms"/>
  </ds:schemaRefs>
</ds:datastoreItem>
</file>

<file path=customXml/itemProps3.xml><?xml version="1.0" encoding="utf-8"?>
<ds:datastoreItem xmlns:ds="http://schemas.openxmlformats.org/officeDocument/2006/customXml" ds:itemID="{47249B93-B781-4B18-86F0-06B1B4BC077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af3243-3dd4-4a8d-8c0d-dd76da1f02a5"/>
    <ds:schemaRef ds:uri="16c05727-aa75-4e4a-9b5f-8a80a11658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27</vt:i4>
      </vt:variant>
    </vt:vector>
  </HeadingPairs>
  <TitlesOfParts>
    <vt:vector size="39" baseType="lpstr">
      <vt:lpstr>Enero</vt:lpstr>
      <vt:lpstr>Febrero</vt:lpstr>
      <vt:lpstr>Marzo</vt:lpstr>
      <vt:lpstr>Abril</vt:lpstr>
      <vt:lpstr>Mayo</vt:lpstr>
      <vt:lpstr>Junio</vt:lpstr>
      <vt:lpstr>Julio</vt:lpstr>
      <vt:lpstr>Agosto</vt:lpstr>
      <vt:lpstr>Septiembre</vt:lpstr>
      <vt:lpstr>Octubre</vt:lpstr>
      <vt:lpstr>Noviembre</vt:lpstr>
      <vt:lpstr>Diciembre</vt:lpstr>
      <vt:lpstr>Enero!Área_de_impresión</vt:lpstr>
      <vt:lpstr>CalendarYear</vt:lpstr>
      <vt:lpstr>ColumnTitleRegion1..H12.1</vt:lpstr>
      <vt:lpstr>ColumnTitleRegion1..H12.10</vt:lpstr>
      <vt:lpstr>ColumnTitleRegion1..H12.11</vt:lpstr>
      <vt:lpstr>ColumnTitleRegion1..H12.12</vt:lpstr>
      <vt:lpstr>ColumnTitleRegion1..H12.2</vt:lpstr>
      <vt:lpstr>ColumnTitleRegion1..H12.3</vt:lpstr>
      <vt:lpstr>ColumnTitleRegion1..H12.4</vt:lpstr>
      <vt:lpstr>ColumnTitleRegion1..H12.5</vt:lpstr>
      <vt:lpstr>ColumnTitleRegion1..H12.6</vt:lpstr>
      <vt:lpstr>ColumnTitleRegion1..H12.7</vt:lpstr>
      <vt:lpstr>ColumnTitleRegion1..H12.8</vt:lpstr>
      <vt:lpstr>ColumnTitleRegion1..H12.9</vt:lpstr>
      <vt:lpstr>ColumnTitleRegion2..C14.1</vt:lpstr>
      <vt:lpstr>ColumnTitleRegion2..C14.10</vt:lpstr>
      <vt:lpstr>ColumnTitleRegion2..C14.11</vt:lpstr>
      <vt:lpstr>ColumnTitleRegion2..C14.12</vt:lpstr>
      <vt:lpstr>ColumnTitleRegion2..C14.2</vt:lpstr>
      <vt:lpstr>ColumnTitleRegion2..C14.3</vt:lpstr>
      <vt:lpstr>ColumnTitleRegion2..C14.4</vt:lpstr>
      <vt:lpstr>ColumnTitleRegion2..C14.5</vt:lpstr>
      <vt:lpstr>ColumnTitleRegion2..C14.6</vt:lpstr>
      <vt:lpstr>ColumnTitleRegion2..C14.7</vt:lpstr>
      <vt:lpstr>ColumnTitleRegion2..C14.8</vt:lpstr>
      <vt:lpstr>ColumnTitleRegion2..C14.9</vt:lpstr>
      <vt:lpstr>InicioDeSemana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2019-04-29T04:00:01Z</dcterms:created>
  <dcterms:modified xsi:type="dcterms:W3CDTF">2026-03-27T13:20:22Z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